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_WORK\Code\Rust\workspace\splines\"/>
    </mc:Choice>
  </mc:AlternateContent>
  <xr:revisionPtr revIDLastSave="0" documentId="13_ncr:1_{305089DD-DBCE-437A-8500-F84C44476965}" xr6:coauthVersionLast="47" xr6:coauthVersionMax="47" xr10:uidLastSave="{00000000-0000-0000-0000-000000000000}"/>
  <bookViews>
    <workbookView xWindow="-51720" yWindow="-120" windowWidth="51840" windowHeight="21120" activeTab="5" xr2:uid="{85E53A95-198C-48F1-82B7-603C7AB4AE21}"/>
  </bookViews>
  <sheets>
    <sheet name="xlwings.conf" sheetId="2" r:id="rId1"/>
    <sheet name="data" sheetId="224" r:id="rId2"/>
    <sheet name="csv" sheetId="225" r:id="rId3"/>
    <sheet name="1D_correspondence" sheetId="226" r:id="rId4"/>
    <sheet name="csv1" sheetId="227" r:id="rId5"/>
    <sheet name="2D" sheetId="228" r:id="rId6"/>
  </sheets>
  <functionGroups builtInGroupCount="19">
    <functionGroup name="xlwings"/>
    <functionGroup name="PYROAPP"/>
  </functionGroups>
  <externalReferences>
    <externalReference r:id="rId7"/>
  </externalReferences>
  <definedNames>
    <definedName name="_111_Figure_2">[1]Data!$AT$6:$AV$25</definedName>
    <definedName name="_2764_Figure_6">[1]Data!$HC$6:$HD$8</definedName>
    <definedName name="_xlcn.WorksheetConnection_OPT_CA_.xlsmTable6_21" hidden="1">Table6_2</definedName>
    <definedName name="_xlpm.A" hidden="1" xlm="1">#NAME?</definedName>
    <definedName name="_xlpm.x" hidden="1" xlm="1">#NAME?</definedName>
    <definedName name="B52513168">#REF!</definedName>
    <definedName name="interactions_CF">#REF!</definedName>
    <definedName name="interactions_CFS">#REF!</definedName>
    <definedName name="interactions_CS">#REF!</definedName>
    <definedName name="interactions_CW">#REF!</definedName>
    <definedName name="interactions_CWF">#REF!</definedName>
    <definedName name="interactions_CWS">#REF!</definedName>
    <definedName name="interactions_FS">#REF!</definedName>
    <definedName name="interactions_WF">#REF!</definedName>
    <definedName name="interactions_WFS">#REF!</definedName>
    <definedName name="interactions_WS">#REF!</definedName>
    <definedName name="values_CF">#REF!</definedName>
    <definedName name="values_CFS">#REF!</definedName>
    <definedName name="values_CS">#REF!</definedName>
    <definedName name="values_CW">#REF!</definedName>
    <definedName name="values_CWF">#REF!</definedName>
    <definedName name="values_CWS">#REF!</definedName>
    <definedName name="values_FS">#REF!</definedName>
    <definedName name="values_WF">#REF!</definedName>
    <definedName name="values_WFS">#REF!</definedName>
    <definedName name="values_WS">#REF!</definedName>
  </definedNames>
  <calcPr calcId="191029"/>
  <extLst>
    <ext xmlns:x14="http://schemas.microsoft.com/office/spreadsheetml/2009/9/main" uri="{8193D73E-4604-4355-AFF4-8A2333D13BE4}">
      <x14:definedNames>
        <x14:definedName name="acc2d_interpolate_phase_composition_cub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linear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quadrat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search_condition_constant_c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po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phase_assemblage">
          <x14:argumentDescriptions count="1">
            <x14:argumentDescription index="0">Positional argument 1</x14:argumentDescription>
          </x14:argumentDescriptions>
        </x14:definedName>
        <x14:definedName name="acc2d_search_phase_x">
          <x14:argumentDescriptions count="1">
            <x14:argumentDescription index="0">Positional argument 1</x14:argumentDescription>
          </x14:argumentDescriptions>
        </x14:definedName>
        <x14:definedName name="acc2d_search_phase_zp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test_axpy">
          <x14:argumentDescriptions count="1">
            <x14:argumentDescription index="0">Positional argument 1</x14:argumentDescription>
          </x14:argumentDescriptions>
        </x14:definedName>
        <x14:definedName name="acc2d_test_mult">
          <x14:argumentDescriptions count="1">
            <x14:argumentDescription index="0">Positional argument 1</x14:argumentDescription>
          </x14:argumentDescriptions>
        </x14:definedName>
        <x14:definedName name="best_combination">
          <x14:argumentDescriptions count="6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  <x14:argumentDescription index="5">Positional argument 6</x14:argumentDescription>
          </x14:argumentDescriptions>
        </x14:definedName>
        <x14:definedName name="ca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dimensions">
          <x14:argumentDescriptions count="1">
            <x14:argumentDescription index="0">A datafile in either .DAT or .CST format</x14:argumentDescription>
          </x14:argumentDescriptions>
        </x14:definedName>
        <x14:definedName name="ca_get_compound_Cp">
          <x14:argumentDescriptions count="5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Cp range indices.</x14:argumentDescription>
            <x14:argumentDescription index="3">An array of Cp coefficient indices. f = Cp[1]+Cp[2]*T+Cp[3]*T^2+Cp[4]/T^2+eCp[5]*T^Cp[6]+Cp[7]*T^Cp[8]+Cp[9]*T^Cp[10]</x14:argumentDescription>
            <x14:argumentDescription index="4">Any value; if changed, makes the formula to recalculate</x14:argumentDescription>
          </x14:argumentDescriptions>
        </x14:definedName>
        <x14:definedName name="ca_get_compound_CpTupper">
          <x14:argumentDescriptions count="4">
            <x14:argumentDescription index="0">A file path to datafile in either open-access or protected format.</x14:argumentDescription>
            <x14:argumentDescription index="1">A list of compound names.</x14:argumentDescription>
            <x14:argumentDescription index="2">Cp range indices.</x14:argumentDescription>
            <x14:argumentDescription index="3">Any value; if changed, makes the formula to recalculate.</x14:argumentDescription>
          </x14:argumentDescriptions>
        </x14:definedName>
        <x14:definedName name="ca_get_compound_H298">
          <x14:argumentDescriptions count="3">
            <x14:argumentDescription index="0">A file path to datafile in open-access format only.</x14:argumentDescription>
            <x14:argumentDescription index="1">An array with compound names</x14:argumentDescription>
            <x14:argumentDescription index="2">Any value; if changed, makes the formula to recalculate.</x14:argumentDescription>
          </x14:argumentDescriptions>
        </x14:definedName>
        <x14:definedName name="ca_get_compound_S298">
          <x14:argumentDescriptions count="3">
            <x14:argumentDescription index="0">A file path to datafile in open-access format only.</x14:argumentDescription>
            <x14:argumentDescription index="1">An array of compound names</x14:argumentDescription>
            <x14:argumentDescription index="2">Any value; if changed, makes the formula to recalculate</x14:argumentDescription>
          </x14:argumentDescriptions>
        </x14:definedName>
        <x14:definedName name="ca_get_compound_stoichiometry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mpound_weight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nstituent_Cp">
          <x14:argumentDescriptions count="6">
            <x14:argumentDescription index="0">A file path to datafile in either open-access or protected format.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Any value; if changed, makes the formula to recalculate</x14:argumentDescription>
          </x14:argumentDescriptions>
        </x14:definedName>
        <x14:definedName name="ca_get_constituent_CpTupper">
          <x14:argumentDescriptions count="5">
            <x14:argumentDescription index="0">A file path to datafile in either open-access or protected format.</x14:argumentDescription>
            <x14:argumentDescription index="1">A list of phase names.</x14:argumentDescription>
            <x14:argumentDescription index="2">A list of phase constituent names.</x14:argumentDescription>
            <x14:argumentDescription index="3">Positional argument 4</x14:argumentDescription>
            <x14:argumentDescription index="4">Any value; if changed, makes the formula to recalculate</x14:argumentDescription>
          </x14:argumentDescriptions>
        </x14:definedName>
        <x14:definedName name="ca_get_constituent_H298">
          <x14:argumentDescriptions count="4">
            <x14:argumentDescription index="0">A file path to datafile in open-access format only.</x14:argumentDescription>
            <x14:argumentDescription index="1">An array with phase names</x14:argumentDescription>
            <x14:argumentDescription index="2">An array with constituent names</x14:argumentDescription>
            <x14:argumentDescription index="3">Any value; if changed, makes the formula to recalculate</x14:argumentDescription>
          </x14:argumentDescriptions>
        </x14:definedName>
        <x14:definedName name="ca_get_constituent_S298">
          <x14:argumentDescriptions count="4">
            <x14:argumentDescription index="0">A file path to datafile in open-access format only.</x14:argumentDescription>
            <x14:argumentDescription index="1">Positional argument 2</x14:argumentDescription>
            <x14:argumentDescription index="2">Positional argument 3</x14:argumentDescription>
            <x14:argumentDescription index="3">Any value; if changed, makes the formula to recalculate.</x14:argumentDescription>
          </x14:argumentDescriptions>
        </x14:definedName>
        <x14:definedName name="ca_get_constituent_stoichiometry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constituent_weight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interaction_index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indices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parameters_g">
          <x14:argumentDescriptions count="5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 parameters.</x14:argumentDescription>
            <x14:argumentDescription index="3">An array of value indices from 0 to 5.</x14:argumentDescription>
            <x14:argumentDescription index="4">Any value; if changed, makes the formula to recalculate.</x14:argumentDescription>
          </x14:argumentDescriptions>
        </x14:definedName>
        <x14:definedName name="ca_get_param_solution_g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a_list_components">
          <x14:argumentDescriptions count="1">
            <x14:argumentDescription index="0">A file path to datafile in either open-access or protected format.</x14:argumentDescription>
          </x14:argumentDescriptions>
        </x14:definedName>
        <x14:definedName name="ca_list_compound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constituents">
          <x14:argumentDescriptions count="3">
            <x14:argumentDescription index="0">A file path to datafile in either open-access or protected format.</x14:argumentDescription>
            <x14:argumentDescription index="1">An array of phases for each of these the constituents are to be retrieved.</x14:argumentDescription>
            <x14:argumentDescription index="2">A subsystem filter to limit the search criteria. Examples: "CaO-SiO2", "Ca2SiO4", "Al2O3-CaO-SiO2"</x14:argumentDescription>
          </x14:argumentDescriptions>
        </x14:definedName>
        <x14:definedName name="ca_list_interactions">
          <x14:argumentDescriptions count="2">
            <x14:argumentDescription index="0">A file path to datafile in the open-access format.</x14:argumentDescription>
            <x14:argumentDescription index="1">Name of a phase (solution).</x14:argumentDescription>
          </x14:argumentDescriptions>
        </x14:definedName>
        <x14:definedName name="ca_list_phase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olution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pecies">
          <x14:argumentDescriptions count="2">
            <x14:argumentDescription index="0">A file path to datafile in either open-access or protected format.</x14:argumentDescription>
            <x14:argumentDescription index="1">A phase for each species are to be returned</x14:argumentDescription>
          </x14:argumentDescriptions>
        </x14:definedName>
        <x14:definedName name="ca_list_species_indices">
          <x14:argumentDescriptions count="2">
            <x14:argumentDescription index="0">A file path to datafile in either open-access or protected format.</x14:argumentDescription>
            <x14:argumentDescription index="1">A phase for each species indices are to be returned</x14:argumentDescription>
          </x14:argumentDescriptions>
        </x14:definedName>
        <x14:definedName name="ca_m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phase_parameters">
          <x14:argumentDescriptions count="3">
            <x14:argumentDescription index="0">A file path to datafile in the open-access format.</x14:argumentDescription>
            <x14:argumentDescription index="1">Name of a phase (solution).</x14:argumentDescription>
            <x14:argumentDescription index="2">Type of excess parameters (optional); can be "G" (Gibbs energy) or "M" (magnetic). The default value is "G".</x14:argumentDescription>
          </x14:argumentDescriptions>
        </x14:definedName>
        <x14:definedName name="ca_set_compound_Cp">
          <x14:argumentDescriptions count="5">
            <x14:argumentDescription index="0">A file path to datafile in the open-access format.</x14:argumentDescription>
            <x14:argumentDescription index="1">An array of compound names.</x14:argumentDescription>
            <x14:argumentDescription index="2">An array or a matrix of new values.</x14:argumentDescription>
            <x14:argumentDescription index="3">An array of Cp range indices.</x14:argumentDescription>
            <x14:argumentDescription index="4">An array of coefficient indices from 1 to 10; 0 for all of them.</x14:argumentDescription>
          </x14:argumentDescriptions>
        </x14:definedName>
        <x14:definedName name="ca_set_compound_H298">
          <x14:argumentDescriptions count="4">
            <x14:argumentDescription index="0">A file path to datafile in the open-access format.</x14:argumentDescription>
            <x14:argumentDescription index="1">A list of compound names.</x14:argumentDescription>
            <x14:argumentDescription index="2">A list of new H298 values.</x14:argumentDescription>
            <x14:argumentDescription index="3">The function with overwrite the old values only if set to TRUE.</x14:argumentDescription>
          </x14:argumentDescriptions>
        </x14:definedName>
        <x14:definedName name="ca_set_compound_S298">
          <x14:argumentDescriptions count="4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new S298 values.</x14:argumentDescription>
            <x14:argumentDescription index="3">Positional argument 4</x14:argumentDescription>
          </x14:argumentDescriptions>
        </x14:definedName>
        <x14:definedName name="ca_set_constituent_Cp">
          <x14:argumentDescriptions count="6">
            <x14:argumentDescription index="0">A file path to datafile in the open-access format.</x14:argumentDescription>
            <x14:argumentDescription index="1">An array of solution names.</x14:argumentDescription>
            <x14:argumentDescription index="2">An array of phase constituent names.</x14:argumentDescription>
            <x14:argumentDescription index="3">An array or a matrix of new values.</x14:argumentDescription>
            <x14:argumentDescription index="4">An array of Cp range indices.</x14:argumentDescription>
            <x14:argumentDescription index="5">An array of coefficient indices from 1 to 10; 0 for all of them.</x14:argumentDescription>
          </x14:argumentDescriptions>
        </x14:definedName>
        <x14:definedName name="ca_set_constituent_H298">
          <x14:argumentDescriptions count="5">
            <x14:argumentDescription index="0">A file path to datafile in the open-access format.</x14:argumentDescription>
            <x14:argumentDescription index="1">A list of phase names</x14:argumentDescription>
            <x14:argumentDescription index="2">A list of constituent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constituent_S298">
          <x14:argumentDescriptions count="5">
            <x14:argumentDescription index="0">A file path to datafile in the open-access format.</x14:argumentDescription>
            <x14:argumentDescription index="1">A list of phase names.</x14:argumentDescription>
            <x14:argumentDescription index="2">A list of compound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interaction_parameters_g">
          <x14:argumentDescriptions count="6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interactions.</x14:argumentDescription>
            <x14:argumentDescription index="3">An array of new parameter values.</x14:argumentDescription>
            <x14:argumentDescription index="4">An array of coefficient indices from 0 to 5.</x14:argumentDescription>
            <x14:argumentDescription index="5">Optional argument, turns off updating if set to FALSE.</x14:argumentDescription>
          </x14:argumentDescriptions>
        </x14:definedName>
        <x14:definedName name="ca_set_param_solution_g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stoichiometry_compou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lculate_binary">
          <x14:argumentDescriptions count="6">
            <x14:argumentDescription index="0">path to a datafile.</x14:argumentDescription>
            <x14:argumentDescription index="1">first endmember.</x14:argumentDescription>
            <x14:argumentDescription index="2">second endmember.</x14:argumentDescription>
            <x14:argumentDescription index="3">.</x14:argumentDescription>
            <x14:argumentDescription index="4">.</x14:argumentDescription>
            <x14:argumentDescription index="5">.</x14:argumentDescription>
          </x14:argumentDescriptions>
        </x14:definedName>
        <x14:definedName name="change_range">
          <x14:argumentDescriptions count="1">
            <x14:argumentDescription index="0">Positional argument 1</x14:argumentDescription>
          </x14:argumentDescriptions>
        </x14:definedName>
        <x14:definedName name="chemsage_compare_constituents">
          <x14:argumentDescriptions count="1">
            <x14:argumentDescription index="3">Positional argument 4</x14:argumentDescription>
          </x14:argumentDescriptions>
        </x14:definedName>
        <x14:definedName name="condition_number">
          <x14:argumentDescriptions count="2">
            <x14:argumentDescription index="0">Input matrix.</x14:argumentDescription>
            <x14:argumentDescription index="1">Positional argument 2</x14:argumentDescription>
          </x14:argumentDescriptions>
        </x14:definedName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data_change_basis">
          <x14:argumentDescriptions count="7">
            <x14:argumentDescription index="0">Initial formula basis</x14:argumentDescription>
            <x14:argumentDescription index="1">Resulting formula basis</x14:argumentDescription>
            <x14:argumentDescription index="2">table with compositions</x14:argumentDescription>
            <x14:argumentDescription index="3">TRUE if the initial compositions are in weight fraction basis, the default value is FALSE.</x14:argumentDescription>
            <x14:argumentDescription index="4">TRUE if the final compositions should be in weight fraction basis, the default value is FALSE.</x14:argumentDescription>
            <x14:argumentDescription index="5">TRUE if the final compositions have to be normalized to one (molar/weight fractions instead of amounts). The default value is FALSE.</x14:argumentDescription>
            <x14:argumentDescription index="6">Positional argument 7</x14:argumentDescription>
          </x14:argumentDescriptions>
        </x14:definedName>
        <x14:definedName name="data_checksum_md5">
          <x14:argumentDescriptions count="1">
            <x14:argumentDescription index="0">Positional argument 1</x14:argumentDescription>
          </x14:argumentDescriptions>
        </x14:definedName>
        <x14:definedName name="data_checksum_md5_array">
          <x14:argumentDescriptions count="1">
            <x14:argumentDescription index="0">Positional argument 1</x14:argumentDescription>
          </x14:argumentDescriptions>
        </x14:definedName>
        <x14:definedName name="data_checksum_md5_set">
          <x14:argumentDescriptions count="1">
            <x14:argumentDescription index="0">Positional argument 1</x14:argumentDescription>
          </x14:argumentDescriptions>
        </x14:definedName>
        <x14:definedName name="data_derivativ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generate_mesh">
          <x14:argumentDescriptions count="3">
            <x14:argumentDescription index="0">Number of points in each dimension.</x14:argumentDescription>
            <x14:argumentDescription index="1">Number of components changing composition. The default value is 2.</x14:argumentDescription>
            <x14:argumentDescription index="2">Total number of components (changing and not changing composition).</x14:argumentDescription>
          </x14:argumentDescriptions>
        </x14:definedName>
        <x14:definedName name="data_hash_native">
          <x14:argumentDescriptions count="1">
            <x14:argumentDescription index="0">Positional argument 1</x14:argumentDescription>
          </x14:argumentDescriptions>
        </x14:definedName>
        <x14:definedName name="data_in_syste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interp1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ata_isotherm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isotherms_to_uni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stable_phases">
          <x14:argumentDescriptions count="1">
            <x14:argumentDescription index="0">Positional argument 1</x14:argumentDescription>
          </x14:argumentDescriptions>
        </x14:definedName>
        <x14:definedName name="data_triangulation_containing_point">
          <x14:argumentDescriptions count="1">
            <x14:argumentDescription index="1">Positional argument 2</x14:argumentDescription>
          </x14:argumentDescriptions>
        </x14:definedName>
        <x14:definedName name="dynamic_array">
          <x14:argumentDescriptions count="2">
            <x14:argumentDescription index="0">Number of rows</x14:argumentDescription>
            <x14:argumentDescription index="1">Number of columns</x14:argumentDescription>
          </x14:argumentDescriptions>
        </x14:definedName>
        <x14:definedName name="einstei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compare_compounds">
          <x14:argumentDescriptions count="1">
            <x14:argumentDescription index="2">Positional argument 3</x14:argumentDescription>
          </x14:argumentDescriptions>
        </x14:definedName>
        <x14:definedName name="factsage_compare_solution_endmembers">
          <x14:argumentDescriptions count="1">
            <x14:argumentDescription index="2">Positional argument 3</x14:argumentDescription>
          </x14:argumentDescriptions>
        </x14:definedName>
        <x14:definedName name="factsage_compare_solution_exceptions">
          <x14:argumentDescriptions count="1">
            <x14:argumentDescription index="2">Positional argument 3</x14:argumentDescription>
          </x14:argumentDescriptions>
        </x14:definedName>
        <x14:definedName name="factsage_compare_solution_interactions">
          <x14:argumentDescriptions count="2"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actsage_compare_solution_quadruplets">
          <x14:argumentDescriptions count="1">
            <x14:argumentDescription index="2">Positional argument 3</x14:argumentDescription>
          </x14:argumentDescriptions>
        </x14:definedName>
        <x14:definedName name="factsage_get_compound_H298">
          <x14:argumentDescriptions count="1">
            <x14:argumentDescription index="2">Positional argument 3</x14:argumentDescription>
          </x14:argumentDescriptions>
        </x14:definedName>
        <x14:definedName name="factsage_get_compound_S298">
          <x14:argumentDescriptions count="1">
            <x14:argumentDescription index="2">Positional argument 3</x14:argumentDescription>
          </x14:argumentDescriptions>
        </x14:definedName>
        <x14:definedName name="factsage_list_solution_endmember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excep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interac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quadruplet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set_compound_H298">
          <x14:argumentDescriptions count="1">
            <x14:argumentDescription index="3">Positional argument 4</x14:argumentDescription>
          </x14:argumentDescriptions>
        </x14:definedName>
        <x14:definedName name="factsage_set_compound_S298">
          <x14:argumentDescriptions count="1">
            <x14:argumentDescription index="3">Positional argument 4</x14:argumentDescription>
          </x14:argumentDescriptions>
        </x14:definedName>
        <x14:definedName name="factsage_write_parameters">
          <x14:argumentDescriptions count="1">
            <x14:argumentDescription index="7">Positional argument 8</x14:argumentDescription>
          </x14:argumentDescriptions>
        </x14:definedName>
        <x14:definedName name="file_read">
          <x14:argumentDescriptions count="4">
            <x14:argumentDescription index="0">Positional argument 1</x14:argumentDescription>
            <x14:argumentDescription index="1">An array with line numbers.</x14:argumentDescription>
            <x14:argumentDescription index="2">An array with column numbers (offsets).</x14:argumentDescription>
            <x14:argumentDescription index="3">An array with lengths (number of characters to read).</x14:argumentDescription>
          </x14:argumentDescriptions>
        </x14:definedName>
        <x14:definedName name="file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e_write">
          <x14:argumentDescriptions count="4">
            <x14:argumentDescription index="0">Positional argument 1</x14:argumentDescription>
            <x14:argumentDescription index="1">An array of line numbers.</x14:argumentDescription>
            <x14:argumentDescription index="2">An array of column numbers.</x14:argumentDescription>
            <x14:argumentDescription index="3">An array of numeric values.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gl_add_one">
          <x14:argumentDescriptions count="1">
            <x14:argumentDescription index="0">Positional argument 1</x14:argumentDescription>
          </x14:argumentDescriptions>
        </x14:definedName>
        <x14:definedName name="gl_double">
          <x14:argumentDescriptions count="1">
            <x14:argumentDescription index="0">Positional argument 1</x14:argumentDescription>
          </x14:argumentDescriptions>
        </x14:definedName>
        <x14:definedName name="gl_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subsystem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r_plot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near_regression">
          <x14:argumentDescriptions count="5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</x14:argumentDescriptions>
        </x14:definedName>
        <x14:definedName name="linop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_open">
          <x14:argumentDescriptions count="4">
            <x14:argumentDescription index="0">The first value.</x14:argumentDescription>
            <x14:argumentDescription index="1">Positional argument 2</x14:argumentDescription>
            <x14:argumentDescription index="2">The second value.</x14:argumentDescription>
            <x14:argumentDescription index="3">Positional argument 4</x14:argumentDescription>
          </x14:argumentDescriptions>
        </x14:definedName>
        <x14:definedName name="mathutils_update_inverse_matrix">
          <x14:argumentDescriptions count="1">
            <x14:argumentDescription index="2">Positional argument 3</x14:argumentDescription>
          </x14:argumentDescriptions>
        </x14:definedName>
        <x14:definedName name="pd_looku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d_pivot_count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ax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ea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i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rms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sum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figure_to_char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l_get_symbols_abc">
          <x14:argumentDescriptions count="1">
            <x14:argumentDescription index="0">Positional argument 1</x14:argumentDescription>
          </x14:argumentDescriptions>
        </x14:definedName>
        <x14:definedName name="pl_get_symbols_xy">
          <x14:argumentDescriptions count="1">
            <x14:argumentDescription index="0">Positional argument 1</x14:argumentDescription>
          </x14:argumentDescriptions>
        </x14:definedName>
        <x14:definedName name="pl_import_figur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import_figure_pivot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plo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catte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et_limi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_data">
          <x14:argumentDescriptions count="3">
            <x14:argumentDescription index="0">the name of an Excel chart.</x14:argumentDescription>
            <x14:argumentDescription index="1">table with data.</x14:argumentDescription>
            <x14:argumentDescription index="2">settings of lines, markers, etc.</x14:argumentDescription>
          </x14:argumentDescriptions>
        </x14:definedName>
        <x14:definedName name="rank_parameter_s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elect_parameter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sgmx_compound_C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G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H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ignificant_targ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ingle_values">
          <x14:argumentDescriptions count="1">
            <x14:argumentDescription index="0">Positional argument 1</x14:argumentDescription>
          </x14:argumentDescriptions>
        </x14:definedName>
        <x14:definedName name="stat_shapiro">
          <x14:argumentDescriptions count="1">
            <x14:argumentDescription index="0">Positional argument 1</x14:argumentDescription>
          </x14:argumentDescriptions>
        </x14:definedName>
        <x14:definedName name="stat_ttest_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heck_endnote">
          <x14:argumentDescriptions count="1">
            <x14:argumentDescription index="0">Positional argument 1</x14:argumentDescription>
          </x14:argumentDescriptions>
        </x14:definedName>
        <x14:definedName name="xl_count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ount_compositions_elements">
          <x14:argumentDescriptions count="1">
            <x14:argumentDescription index="0">Positional argument 1</x14:argumentDescription>
          </x14:argumentDescriptions>
        </x14:definedName>
        <x14:definedName name="xl_fetch_composition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insert_endno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l_insert_phas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e6_2" name="Table6_2" connection="WorksheetConnection_OPT_CA_.xlsm!Table6_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228" l="1" a="1"/>
  <c r="G4" i="228" s="1"/>
  <c r="H9" i="228"/>
  <c r="I9" i="228"/>
  <c r="J9" i="228"/>
  <c r="H10" i="228"/>
  <c r="I10" i="228"/>
  <c r="J10" i="228"/>
  <c r="H11" i="228"/>
  <c r="I11" i="228"/>
  <c r="J11" i="228"/>
  <c r="H12" i="228"/>
  <c r="I12" i="228"/>
  <c r="J12" i="228"/>
  <c r="H13" i="228"/>
  <c r="I13" i="228"/>
  <c r="J13" i="228"/>
  <c r="G10" i="228"/>
  <c r="G11" i="228"/>
  <c r="G12" i="228"/>
  <c r="G13" i="228"/>
  <c r="G9" i="228"/>
  <c r="H20" i="226"/>
  <c r="H19" i="226"/>
  <c r="H18" i="226"/>
  <c r="H17" i="226"/>
  <c r="H16" i="226"/>
  <c r="H15" i="226"/>
  <c r="H14" i="226"/>
  <c r="H13" i="226"/>
  <c r="H12" i="226"/>
  <c r="H11" i="226"/>
  <c r="H10" i="226"/>
  <c r="G10" i="226"/>
  <c r="G11" i="226"/>
  <c r="G12" i="226"/>
  <c r="G13" i="226"/>
  <c r="G14" i="226"/>
  <c r="G15" i="226"/>
  <c r="G16" i="226"/>
  <c r="G17" i="226"/>
  <c r="G18" i="226"/>
  <c r="G19" i="226"/>
  <c r="G20" i="226"/>
  <c r="F11" i="226"/>
  <c r="F12" i="226"/>
  <c r="F13" i="226"/>
  <c r="F14" i="226"/>
  <c r="F15" i="226"/>
  <c r="F16" i="226"/>
  <c r="F17" i="226"/>
  <c r="F18" i="226"/>
  <c r="F19" i="226"/>
  <c r="F20" i="226"/>
  <c r="F10" i="226"/>
  <c r="AY15" i="224"/>
  <c r="AZ15" i="224"/>
  <c r="AY16" i="224"/>
  <c r="AZ16" i="224"/>
  <c r="AY17" i="224"/>
  <c r="AZ17" i="224"/>
  <c r="AY18" i="224"/>
  <c r="AZ18" i="224"/>
  <c r="AY19" i="224"/>
  <c r="AZ19" i="224"/>
  <c r="AY20" i="224"/>
  <c r="AZ20" i="224"/>
  <c r="AY21" i="224"/>
  <c r="AZ21" i="224"/>
  <c r="AY22" i="224"/>
  <c r="AZ22" i="224"/>
  <c r="AY23" i="224"/>
  <c r="AZ23" i="224"/>
  <c r="AY24" i="224"/>
  <c r="AZ24" i="224"/>
  <c r="AY25" i="224"/>
  <c r="AZ25" i="224"/>
  <c r="AY26" i="224"/>
  <c r="AZ26" i="224"/>
  <c r="AY27" i="224"/>
  <c r="AZ27" i="224"/>
  <c r="AY28" i="224"/>
  <c r="AZ28" i="224"/>
  <c r="AY29" i="224"/>
  <c r="AZ29" i="224"/>
  <c r="AY30" i="224"/>
  <c r="AZ30" i="224"/>
  <c r="AY31" i="224"/>
  <c r="AZ31" i="224"/>
  <c r="AY32" i="224"/>
  <c r="AZ32" i="224"/>
  <c r="AY33" i="224"/>
  <c r="AZ33" i="224"/>
  <c r="AY34" i="224"/>
  <c r="AZ34" i="224"/>
  <c r="AY35" i="224"/>
  <c r="AZ35" i="224"/>
  <c r="AY36" i="224"/>
  <c r="AZ36" i="224"/>
  <c r="AY37" i="224"/>
  <c r="AZ37" i="224"/>
  <c r="AY38" i="224"/>
  <c r="AZ38" i="224"/>
  <c r="AY39" i="224"/>
  <c r="AZ39" i="224"/>
  <c r="AY40" i="224"/>
  <c r="AZ40" i="224"/>
  <c r="AY41" i="224"/>
  <c r="AZ41" i="224"/>
  <c r="AY42" i="224"/>
  <c r="AZ42" i="224"/>
  <c r="AY43" i="224"/>
  <c r="AZ43" i="224"/>
  <c r="AY44" i="224"/>
  <c r="AZ44" i="224"/>
  <c r="AY45" i="224"/>
  <c r="AZ45" i="224"/>
  <c r="AY46" i="224"/>
  <c r="AZ46" i="224"/>
  <c r="AY47" i="224"/>
  <c r="AZ47" i="224"/>
  <c r="AY48" i="224"/>
  <c r="AZ48" i="224"/>
  <c r="AY49" i="224"/>
  <c r="AZ49" i="224"/>
  <c r="AY50" i="224"/>
  <c r="AZ50" i="224"/>
  <c r="AY51" i="224"/>
  <c r="AZ51" i="224"/>
  <c r="AY52" i="224"/>
  <c r="AZ52" i="224"/>
  <c r="AY53" i="224"/>
  <c r="AZ53" i="224"/>
  <c r="AY54" i="224"/>
  <c r="AZ54" i="224"/>
  <c r="AY55" i="224"/>
  <c r="AZ55" i="224"/>
  <c r="AY56" i="224"/>
  <c r="AZ56" i="224"/>
  <c r="AY57" i="224"/>
  <c r="AZ57" i="224"/>
  <c r="AY58" i="224"/>
  <c r="AZ58" i="224"/>
  <c r="AY59" i="224"/>
  <c r="AZ59" i="224"/>
  <c r="AY60" i="224"/>
  <c r="AZ60" i="224"/>
  <c r="AY61" i="224"/>
  <c r="AZ61" i="224"/>
  <c r="AY62" i="224"/>
  <c r="AZ62" i="224"/>
  <c r="AY63" i="224"/>
  <c r="AZ63" i="224"/>
  <c r="AY64" i="224"/>
  <c r="AZ64" i="224"/>
  <c r="AY65" i="224"/>
  <c r="AZ65" i="224"/>
  <c r="AY66" i="224"/>
  <c r="AZ66" i="224"/>
  <c r="AY67" i="224"/>
  <c r="AZ67" i="224"/>
  <c r="AY68" i="224"/>
  <c r="AZ68" i="224"/>
  <c r="AY69" i="224"/>
  <c r="AZ69" i="224"/>
  <c r="AY70" i="224"/>
  <c r="AZ70" i="224"/>
  <c r="AY71" i="224"/>
  <c r="AZ71" i="224"/>
  <c r="AY72" i="224"/>
  <c r="AZ72" i="224"/>
  <c r="AY73" i="224"/>
  <c r="AZ73" i="224"/>
  <c r="AY74" i="224"/>
  <c r="AZ74" i="224"/>
  <c r="AY75" i="224"/>
  <c r="AZ75" i="224"/>
  <c r="AY76" i="224"/>
  <c r="AZ76" i="224"/>
  <c r="AY77" i="224"/>
  <c r="AZ77" i="224"/>
  <c r="AY78" i="224"/>
  <c r="AZ78" i="224"/>
  <c r="AY14" i="224"/>
  <c r="AZ14" i="224"/>
  <c r="BE15" i="224"/>
  <c r="BD15" i="224" s="1"/>
  <c r="BD16" i="224"/>
  <c r="BE16" i="224"/>
  <c r="BD17" i="224"/>
  <c r="BE17" i="224"/>
  <c r="BE18" i="224"/>
  <c r="BD18" i="224" s="1"/>
  <c r="BD19" i="224"/>
  <c r="BE19" i="224"/>
  <c r="BE20" i="224"/>
  <c r="BD20" i="224" s="1"/>
  <c r="BE21" i="224"/>
  <c r="BD21" i="224" s="1"/>
  <c r="BD22" i="224"/>
  <c r="BE22" i="224"/>
  <c r="BD23" i="224"/>
  <c r="BE23" i="224"/>
  <c r="BE24" i="224"/>
  <c r="BD24" i="224" s="1"/>
  <c r="BD25" i="224"/>
  <c r="BE25" i="224"/>
  <c r="BE26" i="224"/>
  <c r="BD26" i="224" s="1"/>
  <c r="BE27" i="224"/>
  <c r="BD27" i="224" s="1"/>
  <c r="BD28" i="224"/>
  <c r="BE28" i="224"/>
  <c r="BD29" i="224"/>
  <c r="BE29" i="224"/>
  <c r="BE30" i="224"/>
  <c r="BD30" i="224" s="1"/>
  <c r="BD31" i="224"/>
  <c r="BE31" i="224"/>
  <c r="BE32" i="224"/>
  <c r="BD32" i="224" s="1"/>
  <c r="BE33" i="224"/>
  <c r="BD33" i="224" s="1"/>
  <c r="BD34" i="224"/>
  <c r="BE34" i="224"/>
  <c r="BD35" i="224"/>
  <c r="BE35" i="224"/>
  <c r="BE36" i="224"/>
  <c r="BD36" i="224" s="1"/>
  <c r="BD37" i="224"/>
  <c r="BE37" i="224"/>
  <c r="BE38" i="224"/>
  <c r="BD38" i="224" s="1"/>
  <c r="BE39" i="224"/>
  <c r="BD39" i="224" s="1"/>
  <c r="BD40" i="224"/>
  <c r="BE40" i="224"/>
  <c r="BD41" i="224"/>
  <c r="BE41" i="224"/>
  <c r="BE42" i="224"/>
  <c r="BD42" i="224" s="1"/>
  <c r="BD43" i="224"/>
  <c r="BE43" i="224"/>
  <c r="BE44" i="224"/>
  <c r="BD44" i="224" s="1"/>
  <c r="BE45" i="224"/>
  <c r="BD45" i="224" s="1"/>
  <c r="BD46" i="224"/>
  <c r="BE46" i="224"/>
  <c r="BD47" i="224"/>
  <c r="BE47" i="224"/>
  <c r="BE48" i="224"/>
  <c r="BD48" i="224" s="1"/>
  <c r="BD49" i="224"/>
  <c r="BE49" i="224"/>
  <c r="BE50" i="224"/>
  <c r="BD50" i="224" s="1"/>
  <c r="BE51" i="224"/>
  <c r="BD51" i="224" s="1"/>
  <c r="BD52" i="224"/>
  <c r="BE52" i="224"/>
  <c r="BD53" i="224"/>
  <c r="BE53" i="224"/>
  <c r="BE54" i="224"/>
  <c r="BD54" i="224" s="1"/>
  <c r="BD55" i="224"/>
  <c r="BE55" i="224"/>
  <c r="BE56" i="224"/>
  <c r="BD56" i="224" s="1"/>
  <c r="BE57" i="224"/>
  <c r="BD57" i="224" s="1"/>
  <c r="BD58" i="224"/>
  <c r="BE58" i="224"/>
  <c r="BD59" i="224"/>
  <c r="BE59" i="224"/>
  <c r="BE60" i="224"/>
  <c r="BD60" i="224" s="1"/>
  <c r="BD61" i="224"/>
  <c r="BE61" i="224"/>
  <c r="BE62" i="224"/>
  <c r="BD62" i="224" s="1"/>
  <c r="BE63" i="224"/>
  <c r="BD63" i="224" s="1"/>
  <c r="BD64" i="224"/>
  <c r="BE64" i="224"/>
  <c r="BD65" i="224"/>
  <c r="BE65" i="224"/>
  <c r="BE66" i="224"/>
  <c r="BD66" i="224" s="1"/>
  <c r="BD67" i="224"/>
  <c r="BE67" i="224"/>
  <c r="BE68" i="224"/>
  <c r="BD68" i="224" s="1"/>
  <c r="BE69" i="224"/>
  <c r="BD69" i="224" s="1"/>
  <c r="BD70" i="224"/>
  <c r="BE70" i="224"/>
  <c r="BD71" i="224"/>
  <c r="BE71" i="224"/>
  <c r="BE72" i="224"/>
  <c r="BD72" i="224" s="1"/>
  <c r="BD73" i="224"/>
  <c r="BE73" i="224"/>
  <c r="BE74" i="224"/>
  <c r="BD74" i="224" s="1"/>
  <c r="BE75" i="224"/>
  <c r="BD75" i="224" s="1"/>
  <c r="BD76" i="224"/>
  <c r="BE76" i="224"/>
  <c r="BD77" i="224"/>
  <c r="BE77" i="224"/>
  <c r="BE78" i="224"/>
  <c r="BD78" i="224" s="1"/>
  <c r="BD14" i="224"/>
  <c r="BE14" i="224"/>
  <c r="AS47" i="224" a="1"/>
  <c r="AS47" i="224" s="1"/>
  <c r="AS42" i="224" a="1"/>
  <c r="AS42" i="224" s="1"/>
  <c r="AR45" i="224" a="1"/>
  <c r="AR45" i="224" s="1"/>
  <c r="AR47" i="224" a="1"/>
  <c r="AR47" i="224" s="1"/>
  <c r="AR42" i="224" a="1"/>
  <c r="AR42" i="224" s="1"/>
  <c r="AN40" i="224"/>
  <c r="AO40" i="224"/>
  <c r="AO39" i="224"/>
  <c r="AN39" i="224"/>
  <c r="AQ43" i="224"/>
  <c r="AQ44" i="224"/>
  <c r="AQ45" i="224"/>
  <c r="AQ46" i="224"/>
  <c r="AQ47" i="224"/>
  <c r="AQ42" i="224"/>
  <c r="AP43" i="224"/>
  <c r="AP44" i="224"/>
  <c r="AP45" i="224"/>
  <c r="AP46" i="224"/>
  <c r="AP47" i="224"/>
  <c r="AP42" i="224"/>
  <c r="AO43" i="224"/>
  <c r="AO44" i="224"/>
  <c r="AO45" i="224"/>
  <c r="AS45" i="224" s="1" a="1"/>
  <c r="AS45" i="224" s="1"/>
  <c r="AO46" i="224"/>
  <c r="AS46" i="224" s="1" a="1"/>
  <c r="AS46" i="224" s="1"/>
  <c r="AO47" i="224"/>
  <c r="AO42" i="224"/>
  <c r="AN43" i="224"/>
  <c r="AR43" i="224" s="1" a="1"/>
  <c r="AR43" i="224" s="1"/>
  <c r="AN44" i="224"/>
  <c r="AR44" i="224" s="1" a="1"/>
  <c r="AR44" i="224" s="1"/>
  <c r="AN45" i="224"/>
  <c r="AN46" i="224"/>
  <c r="AN47" i="224"/>
  <c r="AN42" i="224"/>
  <c r="AP30" i="224"/>
  <c r="AP31" i="224"/>
  <c r="AP32" i="224"/>
  <c r="AP33" i="224"/>
  <c r="AP34" i="224"/>
  <c r="AP29" i="224"/>
  <c r="AO29" i="224"/>
  <c r="AO30" i="224"/>
  <c r="AO31" i="224"/>
  <c r="AR31" i="224" s="1" a="1"/>
  <c r="AR31" i="224" s="1"/>
  <c r="AO32" i="224"/>
  <c r="AO33" i="224"/>
  <c r="AO34" i="224"/>
  <c r="AN27" i="224" a="1"/>
  <c r="AN27" i="224" s="1"/>
  <c r="AN26" i="224" a="1"/>
  <c r="AN26" i="224" s="1"/>
  <c r="AN30" i="224"/>
  <c r="AN31" i="224"/>
  <c r="AN32" i="224"/>
  <c r="AN33" i="224"/>
  <c r="AN34" i="224"/>
  <c r="AN29" i="224"/>
  <c r="AQ30" i="224"/>
  <c r="AQ31" i="224"/>
  <c r="AQ32" i="224"/>
  <c r="AQ33" i="224"/>
  <c r="AQ34" i="224"/>
  <c r="AQ29" i="224"/>
  <c r="BF14" i="224" a="1"/>
  <c r="BF14" i="224" l="1"/>
  <c r="AS43" i="224" a="1"/>
  <c r="AS43" i="224" s="1"/>
  <c r="AS44" i="224" a="1"/>
  <c r="AS44" i="224" s="1"/>
  <c r="AR46" i="224" a="1"/>
  <c r="AR46" i="224" s="1"/>
  <c r="AR33" i="224" a="1"/>
  <c r="AR33" i="224" s="1"/>
  <c r="AR34" i="224" a="1"/>
  <c r="AR34" i="224" s="1"/>
  <c r="AR32" i="224" a="1"/>
  <c r="AR32" i="224" s="1"/>
  <c r="AS30" i="224" a="1"/>
  <c r="AS30" i="224" s="1"/>
  <c r="AS33" i="224" a="1"/>
  <c r="AS33" i="224" s="1"/>
  <c r="AS29" i="224" a="1"/>
  <c r="AS29" i="224" s="1"/>
  <c r="AS31" i="224" a="1"/>
  <c r="AS31" i="224" s="1"/>
  <c r="AR29" i="224" a="1"/>
  <c r="AR29" i="224" s="1"/>
  <c r="AS34" i="224" a="1"/>
  <c r="AS34" i="224" s="1"/>
  <c r="AR30" i="224" a="1"/>
  <c r="AR30" i="224" s="1"/>
  <c r="AS32" i="224" a="1"/>
  <c r="AS32" i="224" s="1"/>
  <c r="N14" i="224" a="1"/>
  <c r="G14" i="224" a="1"/>
  <c r="BM14" i="224" a="1"/>
  <c r="AX15" i="224" l="1"/>
  <c r="AX67" i="224"/>
  <c r="AX16" i="224"/>
  <c r="AX28" i="224"/>
  <c r="AX40" i="224"/>
  <c r="AX52" i="224"/>
  <c r="AX64" i="224"/>
  <c r="AX76" i="224"/>
  <c r="AX17" i="224"/>
  <c r="AX29" i="224"/>
  <c r="AX41" i="224"/>
  <c r="AX53" i="224"/>
  <c r="AX65" i="224"/>
  <c r="AX77" i="224"/>
  <c r="AX19" i="224"/>
  <c r="AX20" i="224"/>
  <c r="AX32" i="224"/>
  <c r="AX44" i="224"/>
  <c r="AX56" i="224"/>
  <c r="AX68" i="224"/>
  <c r="AX21" i="224"/>
  <c r="AX33" i="224"/>
  <c r="AX45" i="224"/>
  <c r="AX57" i="224"/>
  <c r="AX69" i="224"/>
  <c r="AX38" i="224"/>
  <c r="AX74" i="224"/>
  <c r="AX27" i="224"/>
  <c r="AX18" i="224"/>
  <c r="AX22" i="224"/>
  <c r="AX34" i="224"/>
  <c r="AX46" i="224"/>
  <c r="AX58" i="224"/>
  <c r="AX70" i="224"/>
  <c r="AX47" i="224"/>
  <c r="AX24" i="224"/>
  <c r="AX48" i="224"/>
  <c r="AX72" i="224"/>
  <c r="AX50" i="224"/>
  <c r="AX63" i="224"/>
  <c r="AX54" i="224"/>
  <c r="AX66" i="224"/>
  <c r="AX43" i="224"/>
  <c r="AX23" i="224"/>
  <c r="AX35" i="224"/>
  <c r="AX59" i="224"/>
  <c r="AX71" i="224"/>
  <c r="AX36" i="224"/>
  <c r="AX60" i="224"/>
  <c r="AX62" i="224"/>
  <c r="AX51" i="224"/>
  <c r="AX75" i="224"/>
  <c r="AX42" i="224"/>
  <c r="AX78" i="224"/>
  <c r="AX55" i="224"/>
  <c r="AX25" i="224"/>
  <c r="AX37" i="224"/>
  <c r="AX49" i="224"/>
  <c r="AX61" i="224"/>
  <c r="AX73" i="224"/>
  <c r="AX26" i="224"/>
  <c r="AX39" i="224"/>
  <c r="AX30" i="224"/>
  <c r="AX31" i="224"/>
  <c r="BM14" i="224"/>
  <c r="AX14" i="224" s="1"/>
  <c r="N14" i="224"/>
  <c r="G14" i="224"/>
  <c r="AI14" i="224" a="1"/>
  <c r="AG14" i="224" a="1"/>
  <c r="AE14" i="224" a="1"/>
  <c r="AN20" i="224" l="1"/>
  <c r="AO20" i="224"/>
  <c r="AN19" i="224"/>
  <c r="AO19" i="224"/>
  <c r="AN17" i="224"/>
  <c r="AO17" i="224"/>
  <c r="AN15" i="224"/>
  <c r="AN16" i="224"/>
  <c r="AO16" i="224"/>
  <c r="AO15" i="224"/>
  <c r="AN21" i="224"/>
  <c r="AN18" i="224"/>
  <c r="AO18" i="224"/>
  <c r="AO21" i="224"/>
  <c r="AN14" i="224"/>
  <c r="AE14" i="224"/>
  <c r="AG14" i="224"/>
  <c r="AI14" i="224"/>
  <c r="AO14" i="2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B1AA6C-44CF-44B8-BB82-A2B25236A399}" keepAlive="1" name="Query - Table_pgcon3" description="Connection to the 'Table_pgcon3' query in the workbook." type="5" refreshedVersion="6" background="1" saveData="1">
    <dbPr connection="Provider=Microsoft.Mashup.OleDb.1;Data Source=$Workbook$;Location=Table_pgcon3;Extended Properties=&quot;&quot;" command="SELECT * FROM [Table_pgcon3]"/>
  </connection>
  <connection id="2" xr16:uid="{EA20824D-3101-4E01-8018-3C5D69309DC3}" keepAlive="1" name="Query - Table_pgcon3 (2)" description="Connection to the 'Table_pgcon3 (2)' query in the workbook." type="5" refreshedVersion="6" background="1" saveData="1">
    <dbPr connection="Provider=Microsoft.Mashup.OleDb.1;Data Source=$Workbook$;Location=&quot;Table_pgcon3 (2)&quot;;Extended Properties=&quot;&quot;" command="SELECT * FROM [Table_pgcon3 (2)]"/>
  </connection>
  <connection id="3" xr16:uid="{AF134A5B-1629-408A-9230-F3D8D7251850}" keepAlive="1" name="Query - Table_pgcon3 (3)" description="Connection to the 'Table_pgcon3 (3)' query in the workbook." type="5" refreshedVersion="6" background="1" saveData="1">
    <dbPr connection="Provider=Microsoft.Mashup.OleDb.1;Data Source=$Workbook$;Location=&quot;Table_pgcon3 (3)&quot;;Extended Properties=&quot;&quot;" command="SELECT * FROM [Table_pgcon3 (3)]"/>
  </connection>
  <connection id="4" xr16:uid="{A868DFE7-AF5B-4480-BE11-DBDE80467237}" keepAlive="1" name="Query - Table5" description="Connection to the 'Table5' query in the workbook." type="5" refreshedVersion="0" background="1" saveData="1">
    <dbPr connection="Provider=Microsoft.Mashup.OleDb.1;Data Source=$Workbook$;Location=Table5;Extended Properties=&quot;&quot;" command="SELECT * FROM [Table5]"/>
  </connection>
  <connection id="5" xr16:uid="{C0AC8D76-9949-4FF8-80B9-7E824D58BC51}" keepAlive="1" name="Query - Table5 (2)" description="Connection to the 'Table5 (2)' query in the workbook." type="5" refreshedVersion="6" background="1" saveData="1">
    <dbPr connection="Provider=Microsoft.Mashup.OleDb.1;Data Source=$Workbook$;Location=&quot;Table5 (2)&quot;;Extended Properties=&quot;&quot;" command="SELECT * FROM [Table5 (2)]"/>
  </connection>
  <connection id="6" xr16:uid="{3400965C-CAC8-4AF8-BBBD-F7E4DF9199EF}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  <connection id="7" xr16:uid="{9B18CFBC-002D-4282-BBAC-717E3F1A4D38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B53F6C6-30E8-4508-B70D-2740332EF269}" name="WorksheetConnection_OPT_CA_.xlsm!Table6_2" type="102" refreshedVersion="6" minRefreshableVersion="5">
    <extLst>
      <ext xmlns:x15="http://schemas.microsoft.com/office/spreadsheetml/2010/11/main" uri="{DE250136-89BD-433C-8126-D09CA5730AF9}">
        <x15:connection id="Table6_2">
          <x15:rangePr sourceName="_xlcn.WorksheetConnection_OPT_CA_.xlsmTable6_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<sst xmlns="http://schemas.openxmlformats.org/spreadsheetml/2006/main" count="520" uniqueCount="90">
  <si>
    <t>PYTHONPATH</t>
  </si>
  <si>
    <t>Interpreter_Win</t>
  </si>
  <si>
    <t>Interpreter_Mac</t>
  </si>
  <si>
    <t>Conda Path</t>
  </si>
  <si>
    <t>Conda Env</t>
  </si>
  <si>
    <t>UDF Modules</t>
  </si>
  <si>
    <t>pyroapp</t>
  </si>
  <si>
    <t>Debug UDFs</t>
  </si>
  <si>
    <t>Use UDF Server</t>
  </si>
  <si>
    <t>Show Console</t>
  </si>
  <si>
    <t>CHEMAPP_DLL</t>
  </si>
  <si>
    <t>CHEMAPP_NTHREADS</t>
  </si>
  <si>
    <t>CHEMAPP_LIST_DIR</t>
  </si>
  <si>
    <t>.</t>
  </si>
  <si>
    <t>CHEMAPP_THREADS_DIR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</si>
  <si>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</si>
  <si>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</si>
  <si>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</si>
  <si>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</si>
  <si>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</si>
  <si>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DUMMY_MODE</t>
  </si>
  <si>
    <t>c:\Python39-32\python.exe</t>
  </si>
  <si>
    <t>c:\_STUDY\_UQ\_105_Nekhoroshev\Pyroapp\ca_vc_e_local.dll</t>
  </si>
  <si>
    <t>c:\Python39_32\python.exe</t>
  </si>
  <si>
    <t>c:\_WORK\Code\chemapp\ca_vc_e_local.dll</t>
  </si>
  <si>
    <t>O</t>
  </si>
  <si>
    <t>CaO</t>
  </si>
  <si>
    <t>ZnO</t>
  </si>
  <si>
    <t>IA</t>
  </si>
  <si>
    <t>""</t>
  </si>
  <si>
    <t>Ca</t>
  </si>
  <si>
    <t>Zn</t>
  </si>
  <si>
    <t>FORMATION</t>
  </si>
  <si>
    <t>ENTERED</t>
  </si>
  <si>
    <t>Monoxide#1</t>
  </si>
  <si>
    <t>Slag-liq#1</t>
  </si>
  <si>
    <t>Zincite</t>
  </si>
  <si>
    <t>AC</t>
  </si>
  <si>
    <t>XP</t>
  </si>
  <si>
    <t>x</t>
  </si>
  <si>
    <t>T</t>
  </si>
  <si>
    <t>T, [K]</t>
  </si>
  <si>
    <t>c:\_WORK\Code\Rust\workspace\splines\MS15_Ca-Zn-O.dat</t>
  </si>
  <si>
    <t>SM, [J]</t>
  </si>
  <si>
    <t>HM, [J]</t>
  </si>
  <si>
    <t>GM, [J]</t>
  </si>
  <si>
    <t>b(0,3)</t>
  </si>
  <si>
    <t>b(1,3)</t>
  </si>
  <si>
    <t>b(2,3)</t>
  </si>
  <si>
    <t>b(3,3)</t>
  </si>
  <si>
    <t>t</t>
  </si>
  <si>
    <t>h(0,0)</t>
  </si>
  <si>
    <t>h(0,1)</t>
  </si>
  <si>
    <t>h(1,0)</t>
  </si>
  <si>
    <t>h(1,1)</t>
  </si>
  <si>
    <t>p0</t>
  </si>
  <si>
    <t>p1</t>
  </si>
  <si>
    <t>m0</t>
  </si>
  <si>
    <t>m1</t>
  </si>
  <si>
    <t>1st deriv</t>
  </si>
  <si>
    <t>point</t>
  </si>
  <si>
    <t>Hermite polynomial interpolation</t>
  </si>
  <si>
    <t>xnew</t>
  </si>
  <si>
    <t>tnew</t>
  </si>
  <si>
    <t>makima</t>
  </si>
  <si>
    <t>pchip</t>
  </si>
  <si>
    <t>tcalc</t>
  </si>
  <si>
    <t>makima-real</t>
  </si>
  <si>
    <t>pchip-real</t>
  </si>
  <si>
    <t>T[C]</t>
  </si>
  <si>
    <t>xZnO(Liq)</t>
  </si>
  <si>
    <t>xZnO(Mono)</t>
  </si>
  <si>
    <t>x0</t>
  </si>
  <si>
    <t>x1</t>
  </si>
  <si>
    <t>x2</t>
  </si>
  <si>
    <t>a0</t>
  </si>
  <si>
    <t>a1</t>
  </si>
  <si>
    <t>a2</t>
  </si>
  <si>
    <t>a3</t>
  </si>
  <si>
    <t>x3</t>
  </si>
  <si>
    <t>--</t>
  </si>
  <si>
    <t>c0</t>
  </si>
  <si>
    <t>c1</t>
  </si>
  <si>
    <t>c2</t>
  </si>
  <si>
    <t>c3</t>
  </si>
  <si>
    <t>r0</t>
  </si>
  <si>
    <t>r1</t>
  </si>
  <si>
    <t>r2</t>
  </si>
  <si>
    <t>r3</t>
  </si>
  <si>
    <t>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</si>
</sst>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2" borderId="0" xfId="0" applyNumberFormat="1" applyFill="1"/>
    <xf numFmtId="2" fontId="0" fillId="4" borderId="0" xfId="0" applyNumberFormat="1" applyFill="1"/>
    <xf numFmtId="2" fontId="0" fillId="3" borderId="0" xfId="0" applyNumberFormat="1" applyFill="1"/>
    <xf numFmtId="164" fontId="0" fillId="0" borderId="0" xfId="0" applyNumberFormat="1"/>
    <xf numFmtId="0" fontId="0" fillId="5" borderId="0" xfId="0" applyFill="1"/>
    <xf numFmtId="0" fontId="0" fillId="0" borderId="0" xfId="0" quotePrefix="1"/>
  </cellXfs>
  <cellStyles count="3">
    <cellStyle name="Normal" xfId="0" builtinId="0"/>
    <cellStyle name="Normal 2" xfId="1" xr:uid="{C7912330-A606-4EA3-AD40-F0382C976096}"/>
    <cellStyle name="Normal 3 2" xfId="2" xr:uid="{294641AA-4E2E-471F-B53C-873039ACD8ED}"/>
  </cellStyles>
  <dxfs count="0"/>
  <tableStyles count="0" defaultTableStyle="TableStyleMedium2" defaultPivotStyle="PivotStyleLight16"/>
  <colors>
    <mruColors>
      <color rgb="FF0000FF"/>
      <color rgb="FFFF6969"/>
      <color rgb="FFF6C0C0"/>
      <color rgb="FFFF5D5D"/>
      <color rgb="FFF58383"/>
      <color rgb="FFFFFFCC"/>
      <color rgb="FFF913DE"/>
      <color rgb="FFF24C4C"/>
      <color rgb="FFE99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06824146981623E-2"/>
          <c:y val="9.5826127954543427E-2"/>
          <c:w val="0.90191108419139931"/>
          <c:h val="0.84440378415268402"/>
        </c:manualLayout>
      </c:layout>
      <c:scatterChart>
        <c:scatterStyle val="lineMarker"/>
        <c:varyColors val="0"/>
        <c:ser>
          <c:idx val="0"/>
          <c:order val="0"/>
          <c:tx>
            <c:v>points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data!$AN$14:$AN$21</c:f>
              <c:numCache>
                <c:formatCode>0.00</c:formatCode>
                <c:ptCount val="8"/>
                <c:pt idx="0">
                  <c:v>0</c:v>
                </c:pt>
                <c:pt idx="1">
                  <c:v>0.20000000000000051</c:v>
                </c:pt>
                <c:pt idx="2">
                  <c:v>0.39999999999999902</c:v>
                </c:pt>
                <c:pt idx="3">
                  <c:v>0.54999999999999916</c:v>
                </c:pt>
                <c:pt idx="4">
                  <c:v>0.65013302460581079</c:v>
                </c:pt>
                <c:pt idx="5">
                  <c:v>0.74999999999999956</c:v>
                </c:pt>
                <c:pt idx="6">
                  <c:v>0.89999999999999991</c:v>
                </c:pt>
                <c:pt idx="7">
                  <c:v>1</c:v>
                </c:pt>
              </c:numCache>
            </c:numRef>
          </c:xVal>
          <c:yVal>
            <c:numRef>
              <c:f>data!$AO$14:$AO$21</c:f>
              <c:numCache>
                <c:formatCode>General</c:formatCode>
                <c:ptCount val="8"/>
                <c:pt idx="0">
                  <c:v>2845.1620499943451</c:v>
                </c:pt>
                <c:pt idx="1">
                  <c:v>2687.9922515909379</c:v>
                </c:pt>
                <c:pt idx="2">
                  <c:v>2448.1940743328091</c:v>
                </c:pt>
                <c:pt idx="3">
                  <c:v>2114.3606806376374</c:v>
                </c:pt>
                <c:pt idx="4">
                  <c:v>1807.7843692250344</c:v>
                </c:pt>
                <c:pt idx="5">
                  <c:v>1976.8527654357181</c:v>
                </c:pt>
                <c:pt idx="6">
                  <c:v>2161.265901241557</c:v>
                </c:pt>
                <c:pt idx="7">
                  <c:v>2247.9744585881922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4-4F43-A9C6-2902FAB9563B}"/>
            </c:ext>
          </c:extLst>
        </c:ser>
        <c:ser>
          <c:idx val="1"/>
          <c:order val="1"/>
          <c:tx>
            <c:strRef>
              <c:f>data!$AV$12</c:f>
              <c:strCache>
                <c:ptCount val="1"/>
                <c:pt idx="0">
                  <c:v>makima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data!$AU$14:$AU$23</c:f>
              <c:numCache>
                <c:formatCode>0.00%</c:formatCode>
                <c:ptCount val="10"/>
                <c:pt idx="0">
                  <c:v>0</c:v>
                </c:pt>
                <c:pt idx="1">
                  <c:v>9.3749999999999997E-3</c:v>
                </c:pt>
                <c:pt idx="2">
                  <c:v>1.8749999999999999E-2</c:v>
                </c:pt>
                <c:pt idx="3">
                  <c:v>2.8125000000000001E-2</c:v>
                </c:pt>
                <c:pt idx="4">
                  <c:v>3.7499999999999999E-2</c:v>
                </c:pt>
                <c:pt idx="5">
                  <c:v>4.6875E-2</c:v>
                </c:pt>
                <c:pt idx="6">
                  <c:v>5.6250000000000001E-2</c:v>
                </c:pt>
                <c:pt idx="7">
                  <c:v>6.5625000000000003E-2</c:v>
                </c:pt>
                <c:pt idx="8">
                  <c:v>7.4999999999999997E-2</c:v>
                </c:pt>
                <c:pt idx="9">
                  <c:v>8.4375000000000006E-2</c:v>
                </c:pt>
              </c:numCache>
            </c:numRef>
          </c:xVal>
          <c:yVal>
            <c:numRef>
              <c:f>data!$AV$14:$AV$23</c:f>
              <c:numCache>
                <c:formatCode>0.0</c:formatCode>
                <c:ptCount val="10"/>
                <c:pt idx="0">
                  <c:v>2845.1620499999999</c:v>
                </c:pt>
                <c:pt idx="1">
                  <c:v>2840.3324356545099</c:v>
                </c:pt>
                <c:pt idx="2">
                  <c:v>2835.1077027582801</c:v>
                </c:pt>
                <c:pt idx="3">
                  <c:v>2829.5104299455202</c:v>
                </c:pt>
                <c:pt idx="4">
                  <c:v>2823.56319585043</c:v>
                </c:pt>
                <c:pt idx="5">
                  <c:v>2817.2885791072099</c:v>
                </c:pt>
                <c:pt idx="6">
                  <c:v>2810.7091583500801</c:v>
                </c:pt>
                <c:pt idx="7">
                  <c:v>2803.84751221325</c:v>
                </c:pt>
                <c:pt idx="8">
                  <c:v>2796.7262193309198</c:v>
                </c:pt>
                <c:pt idx="9">
                  <c:v>2789.3678583372998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8-4152-AD44-699CDCEABDBF}"/>
            </c:ext>
          </c:extLst>
        </c:ser>
        <c:ser>
          <c:idx val="2"/>
          <c:order val="2"/>
          <c:tx>
            <c:strRef>
              <c:f>data!$AW$12</c:f>
              <c:strCache>
                <c:ptCount val="1"/>
                <c:pt idx="0">
                  <c:v>pchip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data!$AU$14:$AU$23</c:f>
              <c:numCache>
                <c:formatCode>0.00%</c:formatCode>
                <c:ptCount val="10"/>
                <c:pt idx="0">
                  <c:v>0</c:v>
                </c:pt>
                <c:pt idx="1">
                  <c:v>9.3749999999999997E-3</c:v>
                </c:pt>
                <c:pt idx="2">
                  <c:v>1.8749999999999999E-2</c:v>
                </c:pt>
                <c:pt idx="3">
                  <c:v>2.8125000000000001E-2</c:v>
                </c:pt>
                <c:pt idx="4">
                  <c:v>3.7499999999999999E-2</c:v>
                </c:pt>
                <c:pt idx="5">
                  <c:v>4.6875E-2</c:v>
                </c:pt>
                <c:pt idx="6">
                  <c:v>5.6250000000000001E-2</c:v>
                </c:pt>
                <c:pt idx="7">
                  <c:v>6.5625000000000003E-2</c:v>
                </c:pt>
                <c:pt idx="8">
                  <c:v>7.4999999999999997E-2</c:v>
                </c:pt>
                <c:pt idx="9">
                  <c:v>8.4375000000000006E-2</c:v>
                </c:pt>
              </c:numCache>
            </c:numRef>
          </c:xVal>
          <c:yVal>
            <c:numRef>
              <c:f>data!$AW$14:$AW$23</c:f>
              <c:numCache>
                <c:formatCode>0.0</c:formatCode>
                <c:ptCount val="10"/>
                <c:pt idx="0">
                  <c:v>2845.1620499999999</c:v>
                </c:pt>
                <c:pt idx="1">
                  <c:v>2839.6225304689701</c:v>
                </c:pt>
                <c:pt idx="2">
                  <c:v>2833.8689780091099</c:v>
                </c:pt>
                <c:pt idx="3">
                  <c:v>2827.9067069453199</c:v>
                </c:pt>
                <c:pt idx="4">
                  <c:v>2821.7410316024602</c:v>
                </c:pt>
                <c:pt idx="5">
                  <c:v>2815.3772663054101</c:v>
                </c:pt>
                <c:pt idx="6">
                  <c:v>2808.8207253790401</c:v>
                </c:pt>
                <c:pt idx="7">
                  <c:v>2802.07672314823</c:v>
                </c:pt>
                <c:pt idx="8">
                  <c:v>2795.1505739378499</c:v>
                </c:pt>
                <c:pt idx="9">
                  <c:v>2788.0475920727899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F8-4152-AD44-699CDCEA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293440"/>
        <c:axId val="807293800"/>
      </c:scatterChart>
      <c:valAx>
        <c:axId val="8072934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93800"/>
        <c:crosses val="autoZero"/>
        <c:crossBetween val="midCat"/>
        <c:majorUnit val="0.2"/>
      </c:valAx>
      <c:valAx>
        <c:axId val="807293800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9344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320718756309307"/>
          <c:y val="0.2421899915361313"/>
          <c:w val="0.36792806559557412"/>
          <c:h val="5.9141923874667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/>
      <a:srcRect/>
      <a:stretch>
        <a:fillRect l="-5800" t="-7800" r="-33800" b="-37400"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06824146981623E-2"/>
          <c:y val="9.5826127954543427E-2"/>
          <c:w val="0.90191108419139931"/>
          <c:h val="0.84440378415268402"/>
        </c:manualLayout>
      </c:layout>
      <c:scatterChart>
        <c:scatterStyle val="lineMarker"/>
        <c:varyColors val="0"/>
        <c:ser>
          <c:idx val="0"/>
          <c:order val="0"/>
          <c:tx>
            <c:v>points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data!$AN$14:$AN$21</c:f>
              <c:numCache>
                <c:formatCode>0.00</c:formatCode>
                <c:ptCount val="8"/>
                <c:pt idx="0">
                  <c:v>0</c:v>
                </c:pt>
                <c:pt idx="1">
                  <c:v>0.20000000000000051</c:v>
                </c:pt>
                <c:pt idx="2">
                  <c:v>0.39999999999999902</c:v>
                </c:pt>
                <c:pt idx="3">
                  <c:v>0.54999999999999916</c:v>
                </c:pt>
                <c:pt idx="4">
                  <c:v>0.65013302460581079</c:v>
                </c:pt>
                <c:pt idx="5">
                  <c:v>0.74999999999999956</c:v>
                </c:pt>
                <c:pt idx="6">
                  <c:v>0.89999999999999991</c:v>
                </c:pt>
                <c:pt idx="7">
                  <c:v>1</c:v>
                </c:pt>
              </c:numCache>
            </c:numRef>
          </c:xVal>
          <c:yVal>
            <c:numRef>
              <c:f>data!$AO$14:$AO$21</c:f>
              <c:numCache>
                <c:formatCode>General</c:formatCode>
                <c:ptCount val="8"/>
                <c:pt idx="0">
                  <c:v>2845.1620499943451</c:v>
                </c:pt>
                <c:pt idx="1">
                  <c:v>2687.9922515909379</c:v>
                </c:pt>
                <c:pt idx="2">
                  <c:v>2448.1940743328091</c:v>
                </c:pt>
                <c:pt idx="3">
                  <c:v>2114.3606806376374</c:v>
                </c:pt>
                <c:pt idx="4">
                  <c:v>1807.7843692250344</c:v>
                </c:pt>
                <c:pt idx="5">
                  <c:v>1976.8527654357181</c:v>
                </c:pt>
                <c:pt idx="6">
                  <c:v>2161.265901241557</c:v>
                </c:pt>
                <c:pt idx="7">
                  <c:v>2247.9744585881922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56-46AE-BB68-F3743960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293440"/>
        <c:axId val="807293800"/>
      </c:scatterChart>
      <c:valAx>
        <c:axId val="8072934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93800"/>
        <c:crosses val="autoZero"/>
        <c:crossBetween val="midCat"/>
        <c:majorUnit val="0.2"/>
      </c:valAx>
      <c:valAx>
        <c:axId val="807293800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9344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320718756309307"/>
          <c:y val="0.2421899915361313"/>
          <c:w val="0.14816394104583078"/>
          <c:h val="0.1207732389188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'1D_correspondence'!$F$9</c:f>
              <c:strCache>
                <c:ptCount val="1"/>
                <c:pt idx="0">
                  <c:v>x1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0-440C-AB1B-EF5BF29486EC}"/>
            </c:ext>
          </c:extLst>
        </c:ser>
        <c:ser>
          <c:idx val="1"/>
          <c:order val="1"/>
          <c:tx>
            <c:strRef>
              <c:f>'1D_correspondence'!$G$9</c:f>
              <c:strCache>
                <c:ptCount val="1"/>
                <c:pt idx="0">
                  <c:v>x2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30-440C-AB1B-EF5BF29486EC}"/>
            </c:ext>
          </c:extLst>
        </c:ser>
        <c:ser>
          <c:idx val="2"/>
          <c:order val="2"/>
          <c:tx>
            <c:strRef>
              <c:f>'1D_correspondence'!$H$9</c:f>
              <c:strCache>
                <c:ptCount val="1"/>
                <c:pt idx="0">
                  <c:v>x3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30-440C-AB1B-EF5BF2948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'1D_correspondence'!$E$9</c:f>
              <c:strCache>
                <c:ptCount val="1"/>
                <c:pt idx="0">
                  <c:v>x0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xVal>
          <c:y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0F-4C29-BB6A-E0E6C443080D}"/>
            </c:ext>
          </c:extLst>
        </c:ser>
        <c:ser>
          <c:idx val="1"/>
          <c:order val="1"/>
          <c:tx>
            <c:strRef>
              <c:f>'1D_correspondence'!$G$9</c:f>
              <c:strCache>
                <c:ptCount val="1"/>
                <c:pt idx="0">
                  <c:v>x2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xVal>
          <c:y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0F-4C29-BB6A-E0E6C443080D}"/>
            </c:ext>
          </c:extLst>
        </c:ser>
        <c:ser>
          <c:idx val="2"/>
          <c:order val="2"/>
          <c:tx>
            <c:strRef>
              <c:f>'1D_correspondence'!$H$9</c:f>
              <c:strCache>
                <c:ptCount val="1"/>
                <c:pt idx="0">
                  <c:v>x3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xVal>
          <c:y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0F-4C29-BB6A-E0E6C4430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'1D_correspondence'!$F$9</c:f>
              <c:strCache>
                <c:ptCount val="1"/>
                <c:pt idx="0">
                  <c:v>x1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xVal>
          <c:y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73-4772-BD30-1C26C212FA17}"/>
            </c:ext>
          </c:extLst>
        </c:ser>
        <c:ser>
          <c:idx val="1"/>
          <c:order val="1"/>
          <c:tx>
            <c:strRef>
              <c:f>'1D_correspondence'!$E$9</c:f>
              <c:strCache>
                <c:ptCount val="1"/>
                <c:pt idx="0">
                  <c:v>x0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xVal>
          <c:y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73-4772-BD30-1C26C212FA17}"/>
            </c:ext>
          </c:extLst>
        </c:ser>
        <c:ser>
          <c:idx val="2"/>
          <c:order val="2"/>
          <c:tx>
            <c:strRef>
              <c:f>'1D_correspondence'!$H$9</c:f>
              <c:strCache>
                <c:ptCount val="1"/>
                <c:pt idx="0">
                  <c:v>x3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xVal>
          <c:y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73-4772-BD30-1C26C212F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'1D_correspondence'!$F$9</c:f>
              <c:strCache>
                <c:ptCount val="1"/>
                <c:pt idx="0">
                  <c:v>x1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xVal>
          <c:yVal>
            <c:numRef>
              <c:f>'1D_correspondence'!$F$10:$F$20</c:f>
              <c:numCache>
                <c:formatCode>General</c:formatCode>
                <c:ptCount val="11"/>
                <c:pt idx="0">
                  <c:v>0</c:v>
                </c:pt>
                <c:pt idx="1">
                  <c:v>8.1000000000000003E-2</c:v>
                </c:pt>
                <c:pt idx="2">
                  <c:v>0.128</c:v>
                </c:pt>
                <c:pt idx="3">
                  <c:v>0.14699999999999999</c:v>
                </c:pt>
                <c:pt idx="4">
                  <c:v>0.14399999999999996</c:v>
                </c:pt>
                <c:pt idx="5">
                  <c:v>0.125</c:v>
                </c:pt>
                <c:pt idx="6">
                  <c:v>9.5999999999999974E-2</c:v>
                </c:pt>
                <c:pt idx="7">
                  <c:v>6.2999999999999945E-2</c:v>
                </c:pt>
                <c:pt idx="8">
                  <c:v>3.1999999999999917E-2</c:v>
                </c:pt>
                <c:pt idx="9">
                  <c:v>9.000000000000008E-3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17-4118-B2DF-DDAF8145A413}"/>
            </c:ext>
          </c:extLst>
        </c:ser>
        <c:ser>
          <c:idx val="1"/>
          <c:order val="1"/>
          <c:tx>
            <c:strRef>
              <c:f>'1D_correspondence'!$G$9</c:f>
              <c:strCache>
                <c:ptCount val="1"/>
                <c:pt idx="0">
                  <c:v>x2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xVal>
          <c:yVal>
            <c:numRef>
              <c:f>'1D_correspondence'!$G$10:$G$20</c:f>
              <c:numCache>
                <c:formatCode>General</c:formatCode>
                <c:ptCount val="11"/>
                <c:pt idx="0">
                  <c:v>-0.5</c:v>
                </c:pt>
                <c:pt idx="1">
                  <c:v>-0.31900000000000001</c:v>
                </c:pt>
                <c:pt idx="2">
                  <c:v>-0.17199999999999999</c:v>
                </c:pt>
                <c:pt idx="3">
                  <c:v>-5.3000000000000047E-2</c:v>
                </c:pt>
                <c:pt idx="4">
                  <c:v>4.4000000000000039E-2</c:v>
                </c:pt>
                <c:pt idx="5">
                  <c:v>0.125</c:v>
                </c:pt>
                <c:pt idx="6">
                  <c:v>0.19599999999999995</c:v>
                </c:pt>
                <c:pt idx="7">
                  <c:v>0.2629999999999999</c:v>
                </c:pt>
                <c:pt idx="8">
                  <c:v>0.33199999999999996</c:v>
                </c:pt>
                <c:pt idx="9">
                  <c:v>0.40900000000000003</c:v>
                </c:pt>
                <c:pt idx="1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17-4118-B2DF-DDAF8145A413}"/>
            </c:ext>
          </c:extLst>
        </c:ser>
        <c:ser>
          <c:idx val="2"/>
          <c:order val="2"/>
          <c:tx>
            <c:strRef>
              <c:f>'1D_correspondence'!$E$9</c:f>
              <c:strCache>
                <c:ptCount val="1"/>
                <c:pt idx="0">
                  <c:v>x0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'1D_correspondence'!$H$10:$H$20</c:f>
              <c:numCache>
                <c:formatCode>General</c:formatCode>
                <c:ptCount val="11"/>
                <c:pt idx="0">
                  <c:v>-1</c:v>
                </c:pt>
                <c:pt idx="1">
                  <c:v>-0.621</c:v>
                </c:pt>
                <c:pt idx="2">
                  <c:v>-0.28800000000000003</c:v>
                </c:pt>
                <c:pt idx="3">
                  <c:v>-7.0000000000000062E-3</c:v>
                </c:pt>
                <c:pt idx="4">
                  <c:v>0.21599999999999997</c:v>
                </c:pt>
                <c:pt idx="5">
                  <c:v>0.375</c:v>
                </c:pt>
                <c:pt idx="6">
                  <c:v>0.46399999999999997</c:v>
                </c:pt>
                <c:pt idx="7">
                  <c:v>0.47700000000000009</c:v>
                </c:pt>
                <c:pt idx="8">
                  <c:v>0.40799999999999992</c:v>
                </c:pt>
                <c:pt idx="9">
                  <c:v>0.25099999999999989</c:v>
                </c:pt>
                <c:pt idx="10">
                  <c:v>0</c:v>
                </c:pt>
              </c:numCache>
            </c:numRef>
          </c:xVal>
          <c:yVal>
            <c:numRef>
              <c:f>'1D_correspondence'!$E$10:$E$20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17-4118-B2DF-DDAF814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'2D'!$G$3</c:f>
              <c:strCache>
                <c:ptCount val="1"/>
                <c:pt idx="0">
                  <c:v>c0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'2D'!$G$9:$G$13</c:f>
              <c:numCache>
                <c:formatCode>General</c:formatCode>
                <c:ptCount val="5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31-49EE-BEC2-124A73DF7474}"/>
            </c:ext>
          </c:extLst>
        </c:ser>
        <c:ser>
          <c:idx val="1"/>
          <c:order val="1"/>
          <c:tx>
            <c:strRef>
              <c:f>'2D'!$H$3</c:f>
              <c:strCache>
                <c:ptCount val="1"/>
                <c:pt idx="0">
                  <c:v>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'2D'!$H$9:$H$13</c:f>
              <c:numCache>
                <c:formatCode>General</c:formatCode>
                <c:ptCount val="5"/>
                <c:pt idx="0">
                  <c:v>0</c:v>
                </c:pt>
                <c:pt idx="1">
                  <c:v>-0.24312500000000001</c:v>
                </c:pt>
                <c:pt idx="2">
                  <c:v>-0.44500000000000001</c:v>
                </c:pt>
                <c:pt idx="3">
                  <c:v>-0.56437499999999996</c:v>
                </c:pt>
                <c:pt idx="4">
                  <c:v>-0.56000000000000005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31-49EE-BEC2-124A73DF7474}"/>
            </c:ext>
          </c:extLst>
        </c:ser>
        <c:ser>
          <c:idx val="2"/>
          <c:order val="2"/>
          <c:tx>
            <c:strRef>
              <c:f>'2D'!$I$3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'2D'!$I$9:$I$13</c:f>
              <c:numCache>
                <c:formatCode>General</c:formatCode>
                <c:ptCount val="5"/>
                <c:pt idx="0">
                  <c:v>0</c:v>
                </c:pt>
                <c:pt idx="1">
                  <c:v>-0.236875</c:v>
                </c:pt>
                <c:pt idx="2">
                  <c:v>-0.39500000000000002</c:v>
                </c:pt>
                <c:pt idx="3">
                  <c:v>-0.395625</c:v>
                </c:pt>
                <c:pt idx="4">
                  <c:v>-0.16000000000000003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31-49EE-BEC2-124A73DF7474}"/>
            </c:ext>
          </c:extLst>
        </c:ser>
        <c:ser>
          <c:idx val="3"/>
          <c:order val="3"/>
          <c:tx>
            <c:strRef>
              <c:f>'2D'!$J$3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'2D'!$J$9:$J$13</c:f>
              <c:numCache>
                <c:formatCode>General</c:formatCode>
                <c:ptCount val="5"/>
                <c:pt idx="0">
                  <c:v>0</c:v>
                </c:pt>
                <c:pt idx="1">
                  <c:v>-0.23125000000000001</c:v>
                </c:pt>
                <c:pt idx="2">
                  <c:v>-0.35</c:v>
                </c:pt>
                <c:pt idx="3">
                  <c:v>-0.24375000000000002</c:v>
                </c:pt>
                <c:pt idx="4">
                  <c:v>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31-49EE-BEC2-124A73DF7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scatterChart>
        <c:scatterStyle val="smoothMarker"/>
        <c:varyColors val="0"/>
        <c:ser>
          <c:idx val="4"/>
          <c:order val="4"/>
          <c:tx>
            <c:strRef>
              <c:f>'2D'!$G$3</c:f>
              <c:strCache>
                <c:ptCount val="1"/>
                <c:pt idx="0">
                  <c:v>c0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'2D'!$G$9:$G$13</c:f>
              <c:numCache>
                <c:formatCode>General</c:formatCode>
                <c:ptCount val="5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B-4753-9F33-0CE6760A8CC6}"/>
            </c:ext>
          </c:extLst>
        </c:ser>
        <c:ser>
          <c:idx val="5"/>
          <c:order val="5"/>
          <c:tx>
            <c:strRef>
              <c:f>'2D'!$H$2:$H$3</c:f>
              <c:strCache>
                <c:ptCount val="2"/>
                <c:pt idx="1">
                  <c:v>c1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'2D'!$H$9:$H$13</c:f>
              <c:numCache>
                <c:formatCode>General</c:formatCode>
                <c:ptCount val="5"/>
                <c:pt idx="0">
                  <c:v>0</c:v>
                </c:pt>
                <c:pt idx="1">
                  <c:v>-0.24312500000000001</c:v>
                </c:pt>
                <c:pt idx="2">
                  <c:v>-0.44500000000000001</c:v>
                </c:pt>
                <c:pt idx="3">
                  <c:v>-0.56437499999999996</c:v>
                </c:pt>
                <c:pt idx="4">
                  <c:v>-0.56000000000000005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753-9F33-0CE6760A8CC6}"/>
            </c:ext>
          </c:extLst>
        </c:ser>
        <c:ser>
          <c:idx val="6"/>
          <c:order val="6"/>
          <c:tx>
            <c:strRef>
              <c:f>'2D'!$I$3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'2D'!$I$9:$I$13</c:f>
              <c:numCache>
                <c:formatCode>General</c:formatCode>
                <c:ptCount val="5"/>
                <c:pt idx="0">
                  <c:v>0</c:v>
                </c:pt>
                <c:pt idx="1">
                  <c:v>-0.236875</c:v>
                </c:pt>
                <c:pt idx="2">
                  <c:v>-0.39500000000000002</c:v>
                </c:pt>
                <c:pt idx="3">
                  <c:v>-0.395625</c:v>
                </c:pt>
                <c:pt idx="4">
                  <c:v>-0.16000000000000003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753-9F33-0CE6760A8CC6}"/>
            </c:ext>
          </c:extLst>
        </c:ser>
        <c:ser>
          <c:idx val="7"/>
          <c:order val="7"/>
          <c:tx>
            <c:strRef>
              <c:f>'2D'!$J$3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'2D'!$F$9:$F$13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'2D'!$J$9:$J$13</c:f>
              <c:numCache>
                <c:formatCode>General</c:formatCode>
                <c:ptCount val="5"/>
                <c:pt idx="0">
                  <c:v>0</c:v>
                </c:pt>
                <c:pt idx="1">
                  <c:v>-0.23125000000000001</c:v>
                </c:pt>
                <c:pt idx="2">
                  <c:v>-0.35</c:v>
                </c:pt>
                <c:pt idx="3">
                  <c:v>-0.24375000000000002</c:v>
                </c:pt>
                <c:pt idx="4">
                  <c:v>0.19999999999999996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753-9F33-0CE6760A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'2D'!$E$10</c:f>
              <c:strCache>
                <c:ptCount val="1"/>
                <c:pt idx="0">
                  <c:v>r1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'2D'!$G$4:$J$4</c:f>
              <c:numCache>
                <c:formatCode>General</c:formatCode>
                <c:ptCount val="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</c:numCache>
            </c:numRef>
          </c:xVal>
          <c:yVal>
            <c:numRef>
              <c:f>'2D'!$G$10:$J$10</c:f>
              <c:numCache>
                <c:formatCode>General</c:formatCode>
                <c:ptCount val="4"/>
                <c:pt idx="0">
                  <c:v>-0.25</c:v>
                </c:pt>
                <c:pt idx="1">
                  <c:v>-0.24312500000000001</c:v>
                </c:pt>
                <c:pt idx="2">
                  <c:v>-0.236875</c:v>
                </c:pt>
                <c:pt idx="3">
                  <c:v>-0.23125000000000001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0-45F0-A4AF-5995F4538896}"/>
            </c:ext>
          </c:extLst>
        </c:ser>
        <c:ser>
          <c:idx val="1"/>
          <c:order val="1"/>
          <c:tx>
            <c:strRef>
              <c:f>'2D'!$E$11</c:f>
              <c:strCache>
                <c:ptCount val="1"/>
                <c:pt idx="0">
                  <c:v>r2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'2D'!$G$4:$J$4</c:f>
              <c:numCache>
                <c:formatCode>General</c:formatCode>
                <c:ptCount val="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</c:numCache>
            </c:numRef>
          </c:xVal>
          <c:yVal>
            <c:numRef>
              <c:f>'2D'!$G$11:$J$11</c:f>
              <c:numCache>
                <c:formatCode>General</c:formatCode>
                <c:ptCount val="4"/>
                <c:pt idx="0">
                  <c:v>-0.5</c:v>
                </c:pt>
                <c:pt idx="1">
                  <c:v>-0.44500000000000001</c:v>
                </c:pt>
                <c:pt idx="2">
                  <c:v>-0.39500000000000002</c:v>
                </c:pt>
                <c:pt idx="3">
                  <c:v>-0.35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0-45F0-A4AF-5995F4538896}"/>
            </c:ext>
          </c:extLst>
        </c:ser>
        <c:ser>
          <c:idx val="2"/>
          <c:order val="2"/>
          <c:tx>
            <c:strRef>
              <c:f>'2D'!$E$12</c:f>
              <c:strCache>
                <c:ptCount val="1"/>
                <c:pt idx="0">
                  <c:v>r3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'2D'!$G$4:$J$4</c:f>
              <c:numCache>
                <c:formatCode>General</c:formatCode>
                <c:ptCount val="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</c:numCache>
            </c:numRef>
          </c:xVal>
          <c:yVal>
            <c:numRef>
              <c:f>'2D'!$G$12:$J$12</c:f>
              <c:numCache>
                <c:formatCode>General</c:formatCode>
                <c:ptCount val="4"/>
                <c:pt idx="0">
                  <c:v>-0.75</c:v>
                </c:pt>
                <c:pt idx="1">
                  <c:v>-0.56437499999999996</c:v>
                </c:pt>
                <c:pt idx="2">
                  <c:v>-0.395625</c:v>
                </c:pt>
                <c:pt idx="3">
                  <c:v>-0.24375000000000002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80-45F0-A4AF-5995F4538896}"/>
            </c:ext>
          </c:extLst>
        </c:ser>
        <c:ser>
          <c:idx val="3"/>
          <c:order val="3"/>
          <c:tx>
            <c:strRef>
              <c:f>'2D'!$E$13</c:f>
              <c:strCache>
                <c:ptCount val="1"/>
                <c:pt idx="0">
                  <c:v>r4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'2D'!$G$4:$J$4</c:f>
              <c:numCache>
                <c:formatCode>General</c:formatCode>
                <c:ptCount val="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</c:numCache>
            </c:numRef>
          </c:xVal>
          <c:yVal>
            <c:numRef>
              <c:f>'2D'!$G$13:$J$13</c:f>
              <c:numCache>
                <c:formatCode>General</c:formatCode>
                <c:ptCount val="4"/>
                <c:pt idx="0">
                  <c:v>-1</c:v>
                </c:pt>
                <c:pt idx="1">
                  <c:v>-0.56000000000000005</c:v>
                </c:pt>
                <c:pt idx="2">
                  <c:v>-0.16000000000000003</c:v>
                </c:pt>
                <c:pt idx="3">
                  <c:v>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80-45F0-A4AF-5995F4538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41343"/>
        <c:axId val="1070942303"/>
      </c:scatterChart>
      <c:valAx>
        <c:axId val="107094134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2303"/>
        <c:crosses val="autoZero"/>
        <c:crossBetween val="midCat"/>
        <c:majorUnit val="0.1"/>
      </c:valAx>
      <c:valAx>
        <c:axId val="107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4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419099</xdr:colOff>
      <xdr:row>26</xdr:row>
      <xdr:rowOff>105727</xdr:rowOff>
    </xdr:from>
    <xdr:to>
      <xdr:col>23</xdr:col>
      <xdr:colOff>13334</xdr:colOff>
      <xdr:row>53</xdr:row>
      <xdr:rowOff>140970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384E58-3EF0-06F9-C553-268E5E653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542925</xdr:colOff>
      <xdr:row>26</xdr:row>
      <xdr:rowOff>28575</xdr:rowOff>
    </xdr:from>
    <xdr:to>
      <xdr:col>35</xdr:col>
      <xdr:colOff>361950</xdr:colOff>
      <xdr:row>53</xdr:row>
      <xdr:rowOff>63818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CC859E4-4A77-4292-B3F2-8910199B7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457200</xdr:colOff>
      <xdr:row>13</xdr:row>
      <xdr:rowOff>38100</xdr:rowOff>
    </xdr:from>
    <xdr:to>
      <xdr:col>30</xdr:col>
      <xdr:colOff>152400</xdr:colOff>
      <xdr:row>35</xdr:row>
      <xdr:rowOff>84137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D2FDDA-7E18-D1BB-AA44-04EE3355D0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438150</xdr:colOff>
      <xdr:row>35</xdr:row>
      <xdr:rowOff>85725</xdr:rowOff>
    </xdr:from>
    <xdr:to>
      <xdr:col>30</xdr:col>
      <xdr:colOff>133350</xdr:colOff>
      <xdr:row>57</xdr:row>
      <xdr:rowOff>131762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F3D3AF-6907-449D-89C5-25A1B9447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180975</xdr:colOff>
      <xdr:row>13</xdr:row>
      <xdr:rowOff>28575</xdr:rowOff>
    </xdr:from>
    <xdr:to>
      <xdr:col>37</xdr:col>
      <xdr:colOff>485775</xdr:colOff>
      <xdr:row>35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F92756-3B4F-4368-A05A-DA5CCB04F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171450</xdr:colOff>
      <xdr:row>35</xdr:row>
      <xdr:rowOff>85725</xdr:rowOff>
    </xdr:from>
    <xdr:to>
      <xdr:col>37</xdr:col>
      <xdr:colOff>476250</xdr:colOff>
      <xdr:row>57</xdr:row>
      <xdr:rowOff>131762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C69C24-3E0F-483A-99AF-28C75A473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85726</xdr:rowOff>
    </xdr:from>
    <xdr:to>
      <xdr:col>18</xdr:col>
      <xdr:colOff>304800</xdr:colOff>
      <xdr:row>37</xdr:row>
      <xdr:rowOff>46038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FED379-BA35-4423-9930-AE137091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9</xdr:row>
      <xdr:rowOff>0</xdr:rowOff>
    </xdr:from>
    <xdr:to>
      <xdr:col>27</xdr:col>
      <xdr:colOff>304800</xdr:colOff>
      <xdr:row>36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BF0CA5-3EFC-4BF7-988C-D059BB89B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WORK/Optimization/Optim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lwings.conf"/>
      <sheetName val="Search"/>
      <sheetName val="Data"/>
      <sheetName val="Tern"/>
      <sheetName val="Cp ZnO"/>
      <sheetName val="CaO-ZnO-SiO2 PD"/>
      <sheetName val="compare_databases"/>
      <sheetName val="CaO-SiO2 H,S"/>
      <sheetName val="CaO-SiO2 PD"/>
      <sheetName val="CaO-SiO2 HC"/>
      <sheetName val="CaO-SiO2 Cp"/>
      <sheetName val="CaO-ZnO PD"/>
      <sheetName val="ZnO-SiO2 PD"/>
      <sheetName val="ZnO-SiO2 H,S"/>
      <sheetName val="CaO-SiO2 ACT"/>
      <sheetName val="matrix1"/>
      <sheetName val="test"/>
      <sheetName val="derivatives"/>
      <sheetName val="derivatives Na2O-SiO2"/>
      <sheetName val="matrix2"/>
      <sheetName val="opt"/>
      <sheetName val="CaO-SiO2 PD1"/>
      <sheetName val="Optimization"/>
    </sheetNames>
    <sheetDataSet>
      <sheetData sheetId="0"/>
      <sheetData sheetId="1"/>
      <sheetData sheetId="2">
        <row r="6">
          <cell r="AT6" t="str">
            <v>_111_Figure_2</v>
          </cell>
          <cell r="HC6" t="str">
            <v>_2764_Figure_6</v>
          </cell>
          <cell r="HD6" t="str">
            <v>CaO-MgO melting PD</v>
          </cell>
        </row>
        <row r="7">
          <cell r="AT7" t="str">
            <v>wt% CaO</v>
          </cell>
          <cell r="AU7" t="str">
            <v>T, C</v>
          </cell>
          <cell r="AV7" t="str">
            <v>equilibrium</v>
          </cell>
          <cell r="HC7" t="str">
            <v>Compound</v>
          </cell>
          <cell r="HD7" t="str">
            <v>Tmelt, C</v>
          </cell>
        </row>
        <row r="8">
          <cell r="AT8">
            <v>65.111999999999995</v>
          </cell>
          <cell r="AU8">
            <v>2130.58</v>
          </cell>
          <cell r="AV8" t="str">
            <v>Ca2SiO4 liquidus</v>
          </cell>
          <cell r="HC8" t="str">
            <v>CaO</v>
          </cell>
          <cell r="HD8">
            <v>2908.67</v>
          </cell>
        </row>
        <row r="9">
          <cell r="AT9">
            <v>67.509200000000007</v>
          </cell>
          <cell r="AU9">
            <v>2089.19</v>
          </cell>
          <cell r="AV9" t="str">
            <v>Ca2SiO4 liquidus</v>
          </cell>
        </row>
        <row r="10">
          <cell r="AT10">
            <v>68.502499999999998</v>
          </cell>
          <cell r="AU10">
            <v>2070.91</v>
          </cell>
          <cell r="AV10" t="str">
            <v>Ca2SiO4 liquidus</v>
          </cell>
        </row>
        <row r="11">
          <cell r="AT11">
            <v>69.151200000000003</v>
          </cell>
          <cell r="AU11">
            <v>2059.41</v>
          </cell>
          <cell r="AV11" t="str">
            <v>Ca2SiO4 liquidus</v>
          </cell>
        </row>
        <row r="12">
          <cell r="AT12">
            <v>69.714299999999994</v>
          </cell>
          <cell r="AU12">
            <v>2059.25</v>
          </cell>
          <cell r="AV12" t="str">
            <v>Ca3SiO5 liquidus</v>
          </cell>
        </row>
        <row r="13">
          <cell r="AT13">
            <v>70.2577</v>
          </cell>
          <cell r="AU13">
            <v>2069.6999999999998</v>
          </cell>
          <cell r="AV13" t="str">
            <v>Ca3SiO5 liquidus</v>
          </cell>
        </row>
        <row r="14">
          <cell r="AT14">
            <v>70.752399999999994</v>
          </cell>
          <cell r="AU14">
            <v>2064.85</v>
          </cell>
          <cell r="AV14" t="str">
            <v>Ca3SiO5 liquidus</v>
          </cell>
        </row>
        <row r="15">
          <cell r="AT15">
            <v>71.490600000000001</v>
          </cell>
          <cell r="AU15">
            <v>2068.7399999999998</v>
          </cell>
          <cell r="AV15" t="str">
            <v>Ca3SiO5 liquidus</v>
          </cell>
        </row>
        <row r="16">
          <cell r="AT16">
            <v>71.989199999999997</v>
          </cell>
          <cell r="AU16">
            <v>2089.06</v>
          </cell>
          <cell r="AV16" t="str">
            <v>CaO liquidus</v>
          </cell>
        </row>
        <row r="17">
          <cell r="AT17">
            <v>73.715000000000003</v>
          </cell>
          <cell r="AU17">
            <v>2156</v>
          </cell>
          <cell r="AV17" t="str">
            <v>CaO liquidus</v>
          </cell>
        </row>
        <row r="18">
          <cell r="AT18">
            <v>67.515600000000006</v>
          </cell>
          <cell r="AU18">
            <v>2049.7199999999998</v>
          </cell>
          <cell r="AV18" t="str">
            <v>Ca2SiO4-Ca3SiO5 eutectic</v>
          </cell>
        </row>
        <row r="19">
          <cell r="AT19">
            <v>68.507900000000006</v>
          </cell>
          <cell r="AU19">
            <v>2049.8000000000002</v>
          </cell>
          <cell r="AV19" t="str">
            <v>Ca2SiO4-Ca3SiO5 eutectic</v>
          </cell>
        </row>
        <row r="20">
          <cell r="AT20">
            <v>69.152799999999999</v>
          </cell>
          <cell r="AU20">
            <v>2049.8200000000002</v>
          </cell>
          <cell r="AV20" t="str">
            <v>Ca2SiO4-Ca3SiO5 eutectic</v>
          </cell>
        </row>
        <row r="21">
          <cell r="AT21">
            <v>69.718199999999996</v>
          </cell>
          <cell r="AU21">
            <v>2049.66</v>
          </cell>
          <cell r="AV21" t="str">
            <v>Ca2SiO4-Ca3SiO5 eutectic</v>
          </cell>
        </row>
        <row r="22">
          <cell r="AT22">
            <v>70.272199999999998</v>
          </cell>
          <cell r="AU22">
            <v>2049.9699999999998</v>
          </cell>
          <cell r="AV22" t="str">
            <v>Ca2SiO4-Ca3SiO5 eutectic</v>
          </cell>
        </row>
        <row r="23">
          <cell r="AT23">
            <v>70.742199999999997</v>
          </cell>
          <cell r="AU23">
            <v>2049.92</v>
          </cell>
          <cell r="AV23" t="str">
            <v>Ca2SiO4-Ca3SiO5 eutectic</v>
          </cell>
        </row>
        <row r="24">
          <cell r="AT24">
            <v>71.496099999999998</v>
          </cell>
          <cell r="AU24">
            <v>2049.83</v>
          </cell>
          <cell r="AV24" t="str">
            <v>Ca2SiO4-Ca3SiO5 eutectic</v>
          </cell>
        </row>
        <row r="25">
          <cell r="AT25">
            <v>72.034300000000002</v>
          </cell>
          <cell r="AU25">
            <v>2050.0500000000002</v>
          </cell>
          <cell r="AV25" t="str">
            <v>Ca2SiO4-Ca3SiO5 eutectic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C6E9-7A1B-4ED9-BDA8-C37111A47D77}">
  <sheetPr codeName="Sheet1"/>
  <dimension ref="A1:F35"/>
  <sheetViews>
    <sheetView workbookViewId="0">
      <selection activeCell="G18" sqref="G18"/>
    </sheetView>
  </sheetViews>
  <sheetFormatPr defaultRowHeight="14.5" x14ac:dyDescent="0.35"/>
  <cols>
    <col min="1" max="1" width="24" customWidth="1"/>
    <col min="2" max="2" width="68.453125" bestFit="1" customWidth="1"/>
  </cols>
  <sheetData>
    <row r="1" spans="1:6" x14ac:dyDescent="0.35">
      <c r="A1" s="1" t="s">
        <v>1</v>
      </c>
      <c r="B1" s="1" t="s">
        <v>23</v>
      </c>
      <c r="C1" s="1" t="s">
        <v>21</v>
      </c>
      <c r="D1" s="1" t="s">
        <v>23</v>
      </c>
      <c r="E1" s="1"/>
      <c r="F1" s="1"/>
    </row>
    <row r="2" spans="1:6" x14ac:dyDescent="0.35">
      <c r="A2" s="1" t="s">
        <v>2</v>
      </c>
      <c r="B2" s="1"/>
      <c r="C2" s="1"/>
      <c r="D2" s="1"/>
      <c r="E2" s="1"/>
      <c r="F2" s="1"/>
    </row>
    <row r="3" spans="1:6" x14ac:dyDescent="0.35">
      <c r="A3" s="1" t="s">
        <v>0</v>
      </c>
      <c r="B3" s="1"/>
      <c r="C3" s="1"/>
      <c r="D3" s="1"/>
      <c r="E3" s="1"/>
      <c r="F3" s="1"/>
    </row>
    <row r="4" spans="1:6" x14ac:dyDescent="0.35">
      <c r="A4" s="1" t="s">
        <v>3</v>
      </c>
      <c r="B4" s="1"/>
      <c r="C4" s="1"/>
      <c r="D4" s="1"/>
      <c r="E4" s="1"/>
      <c r="F4" s="1"/>
    </row>
    <row r="5" spans="1:6" x14ac:dyDescent="0.35">
      <c r="A5" s="1" t="s">
        <v>4</v>
      </c>
      <c r="B5" s="1"/>
      <c r="C5" s="1"/>
      <c r="D5" s="1"/>
      <c r="E5" s="1"/>
      <c r="F5" s="1"/>
    </row>
    <row r="6" spans="1:6" x14ac:dyDescent="0.35">
      <c r="A6" s="1" t="s">
        <v>5</v>
      </c>
      <c r="B6" s="1" t="s">
        <v>6</v>
      </c>
      <c r="C6" s="1" t="s">
        <v>6</v>
      </c>
      <c r="D6" s="1" t="s">
        <v>6</v>
      </c>
      <c r="E6" s="1"/>
      <c r="F6" s="1"/>
    </row>
    <row r="7" spans="1:6" x14ac:dyDescent="0.35">
      <c r="A7" s="1" t="s">
        <v>7</v>
      </c>
      <c r="B7" s="1" t="b">
        <v>0</v>
      </c>
      <c r="C7" s="1" t="b">
        <v>0</v>
      </c>
      <c r="D7" s="1" t="b">
        <v>0</v>
      </c>
      <c r="E7" s="1"/>
      <c r="F7" s="1"/>
    </row>
    <row r="8" spans="1:6" x14ac:dyDescent="0.35">
      <c r="A8" s="1" t="s">
        <v>8</v>
      </c>
      <c r="B8" s="1" t="b">
        <v>1</v>
      </c>
      <c r="C8" s="1" t="b">
        <v>1</v>
      </c>
      <c r="D8" s="1" t="b">
        <v>1</v>
      </c>
      <c r="E8" s="1"/>
      <c r="F8" s="1"/>
    </row>
    <row r="9" spans="1:6" x14ac:dyDescent="0.35">
      <c r="A9" s="1" t="s">
        <v>9</v>
      </c>
      <c r="B9" s="1" t="b">
        <v>1</v>
      </c>
      <c r="C9" s="1" t="b">
        <v>1</v>
      </c>
      <c r="D9" s="1" t="b">
        <v>1</v>
      </c>
      <c r="E9" s="1"/>
      <c r="F9" s="1"/>
    </row>
    <row r="10" spans="1:6" x14ac:dyDescent="0.35">
      <c r="A10" s="1" t="s">
        <v>10</v>
      </c>
      <c r="B10" s="1" t="s">
        <v>24</v>
      </c>
      <c r="C10" s="1" t="s">
        <v>22</v>
      </c>
      <c r="D10" s="1" t="s">
        <v>24</v>
      </c>
      <c r="E10" s="1"/>
      <c r="F10" s="1"/>
    </row>
    <row r="11" spans="1:6" x14ac:dyDescent="0.35">
      <c r="A11" s="1" t="s">
        <v>11</v>
      </c>
      <c r="B11" s="1">
        <v>8</v>
      </c>
      <c r="C11" s="1">
        <v>4</v>
      </c>
      <c r="D11" s="1">
        <v>8</v>
      </c>
      <c r="E11" s="1"/>
      <c r="F11" s="1"/>
    </row>
    <row r="12" spans="1:6" x14ac:dyDescent="0.35">
      <c r="A12" s="1" t="s">
        <v>12</v>
      </c>
      <c r="B12" s="1" t="s">
        <v>13</v>
      </c>
      <c r="C12" s="1" t="s">
        <v>13</v>
      </c>
      <c r="D12" s="1" t="s">
        <v>13</v>
      </c>
      <c r="E12" s="1"/>
      <c r="F12" s="1"/>
    </row>
    <row r="13" spans="1:6" x14ac:dyDescent="0.35">
      <c r="A13" s="1" t="s">
        <v>14</v>
      </c>
      <c r="B13" s="1" t="s">
        <v>13</v>
      </c>
      <c r="C13" s="1" t="s">
        <v>13</v>
      </c>
      <c r="D13" s="1" t="s">
        <v>13</v>
      </c>
      <c r="E13" s="1"/>
      <c r="F13" s="1"/>
    </row>
    <row r="14" spans="1:6" x14ac:dyDescent="0.35">
      <c r="A14" s="1" t="s">
        <v>20</v>
      </c>
      <c r="B14" s="1" t="b">
        <v>0</v>
      </c>
      <c r="C14" s="1" t="b">
        <v>0</v>
      </c>
      <c r="D14" s="1" t="b">
        <v>0</v>
      </c>
      <c r="E14" s="1"/>
      <c r="F14" s="1"/>
    </row>
    <row r="15" spans="1:6" x14ac:dyDescent="0.35">
      <c r="A15" s="1"/>
      <c r="B15" s="1"/>
      <c r="C15" s="1"/>
      <c r="D15" s="1"/>
      <c r="E15" s="1"/>
      <c r="F15" s="1"/>
    </row>
    <row r="16" spans="1:6" x14ac:dyDescent="0.35">
      <c r="A16" s="1"/>
      <c r="B16" s="1"/>
      <c r="C16" s="1"/>
      <c r="D16" s="1"/>
      <c r="E16" s="1"/>
      <c r="F16" s="1"/>
    </row>
    <row r="17" spans="1:6" x14ac:dyDescent="0.35">
      <c r="A17" s="1"/>
      <c r="B17" s="1"/>
      <c r="C17" s="1"/>
      <c r="D17" s="1"/>
      <c r="E17" s="1"/>
      <c r="F17" s="1"/>
    </row>
    <row r="18" spans="1:6" x14ac:dyDescent="0.35">
      <c r="A18" s="1"/>
      <c r="B18" s="1"/>
      <c r="C18" s="1"/>
      <c r="D18" s="1"/>
      <c r="E18" s="1"/>
      <c r="F18" s="1"/>
    </row>
    <row r="19" spans="1:6" ht="15.5" x14ac:dyDescent="0.35">
      <c r="A19" s="2" t="s">
        <v>15</v>
      </c>
      <c r="B19" s="1"/>
      <c r="C19" s="1"/>
      <c r="D19" s="1"/>
      <c r="E19" s="1"/>
      <c r="F19" s="1"/>
    </row>
    <row r="20" spans="1:6" x14ac:dyDescent="0.35">
      <c r="A20" s="1" t="s">
        <v>16</v>
      </c>
      <c r="B20" s="1"/>
      <c r="C20" s="1"/>
      <c r="D20" s="1"/>
      <c r="E20" s="1"/>
      <c r="F20" s="1"/>
    </row>
    <row r="21" spans="1:6" x14ac:dyDescent="0.35">
      <c r="A21" s="1" t="s">
        <v>17</v>
      </c>
      <c r="B21" s="1"/>
      <c r="C21" s="1"/>
      <c r="D21" s="1"/>
      <c r="E21" s="1"/>
      <c r="F21" s="1"/>
    </row>
    <row r="22" spans="1:6" x14ac:dyDescent="0.35">
      <c r="A22" s="1" t="s">
        <v>18</v>
      </c>
      <c r="B22" s="1"/>
      <c r="C22" s="1"/>
      <c r="D22" s="1"/>
      <c r="E22" s="1"/>
      <c r="F22" s="1"/>
    </row>
    <row r="23" spans="1:6" x14ac:dyDescent="0.35">
      <c r="A23" s="1" t="s">
        <v>19</v>
      </c>
      <c r="B23" s="1"/>
      <c r="C23" s="1"/>
      <c r="D23" s="1"/>
      <c r="E23" s="1"/>
      <c r="F23" s="1"/>
    </row>
    <row r="24" spans="1:6" x14ac:dyDescent="0.35">
      <c r="A24" s="1"/>
      <c r="B24" s="1"/>
      <c r="C24" s="1"/>
      <c r="D24" s="1"/>
      <c r="E24" s="1"/>
      <c r="F24" s="1"/>
    </row>
    <row r="25" spans="1:6" x14ac:dyDescent="0.35">
      <c r="A25" s="1"/>
      <c r="B25" s="1"/>
      <c r="C25" s="1"/>
      <c r="D25" s="1"/>
      <c r="E25" s="1"/>
      <c r="F25" s="1"/>
    </row>
    <row r="26" spans="1:6" x14ac:dyDescent="0.35">
      <c r="A26" s="1"/>
      <c r="B26" s="1"/>
      <c r="C26" s="1"/>
      <c r="D26" s="1"/>
      <c r="E26" s="1"/>
      <c r="F26" s="1"/>
    </row>
    <row r="27" spans="1:6" x14ac:dyDescent="0.35">
      <c r="A27" s="1"/>
      <c r="B27" s="1"/>
      <c r="C27" s="1"/>
      <c r="D27" s="1"/>
      <c r="E27" s="1"/>
      <c r="F27" s="1"/>
    </row>
    <row r="28" spans="1:6" x14ac:dyDescent="0.35">
      <c r="A28" s="1"/>
      <c r="B28" s="1"/>
      <c r="C28" s="1"/>
      <c r="D28" s="1"/>
      <c r="E28" s="1"/>
      <c r="F28" s="1"/>
    </row>
    <row r="29" spans="1:6" x14ac:dyDescent="0.35">
      <c r="A29" s="1"/>
      <c r="B29" s="1"/>
      <c r="C29" s="1"/>
      <c r="D29" s="1"/>
      <c r="E29" s="1"/>
      <c r="F29" s="1"/>
    </row>
    <row r="30" spans="1:6" x14ac:dyDescent="0.35">
      <c r="A30" s="1"/>
      <c r="B30" s="1"/>
      <c r="C30" s="1"/>
      <c r="D30" s="1"/>
      <c r="E30" s="1"/>
      <c r="F30" s="1"/>
    </row>
    <row r="31" spans="1:6" x14ac:dyDescent="0.35">
      <c r="A31" s="1"/>
      <c r="B31" s="1"/>
      <c r="C31" s="1"/>
      <c r="D31" s="1"/>
      <c r="E31" s="1"/>
      <c r="F31" s="1"/>
    </row>
    <row r="32" spans="1:6" x14ac:dyDescent="0.35">
      <c r="A32" s="1"/>
      <c r="B32" s="1"/>
      <c r="C32" s="1"/>
      <c r="D32" s="1"/>
      <c r="E32" s="1"/>
      <c r="F32" s="1"/>
    </row>
    <row r="33" spans="1:6" x14ac:dyDescent="0.35">
      <c r="A33" s="1"/>
      <c r="B33" s="1"/>
      <c r="C33" s="1"/>
      <c r="D33" s="1"/>
      <c r="E33" s="1"/>
      <c r="F33" s="1"/>
    </row>
    <row r="34" spans="1:6" x14ac:dyDescent="0.35">
      <c r="A34" s="1"/>
      <c r="B34" s="1"/>
      <c r="C34" s="1"/>
      <c r="D34" s="1"/>
      <c r="E34" s="1"/>
      <c r="F34" s="1"/>
    </row>
    <row r="35" spans="1:6" x14ac:dyDescent="0.35">
      <c r="A35" s="1"/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BF1F2-ACCE-4700-B3BE-0686393AC5FC}">
  <dimension ref="E4:BS78"/>
  <sheetViews>
    <sheetView topLeftCell="D4" workbookViewId="0">
      <selection activeCell="I51" sqref="I51"/>
    </sheetView>
  </sheetViews>
  <sheetFormatPr defaultRowHeight="14.5" x14ac:dyDescent="0.35"/>
  <cols>
    <col min="10" max="10" width="11.6328125" bestFit="1" customWidth="1"/>
    <col min="11" max="11" width="9.36328125" bestFit="1" customWidth="1"/>
    <col min="12" max="12" width="11.6328125" bestFit="1" customWidth="1"/>
    <col min="13" max="13" width="8.6328125" bestFit="1" customWidth="1"/>
    <col min="15" max="15" width="9.36328125" bestFit="1" customWidth="1"/>
    <col min="16" max="16" width="11.6328125" bestFit="1" customWidth="1"/>
    <col min="17" max="17" width="6.81640625" bestFit="1" customWidth="1"/>
    <col min="27" max="28" width="9.453125" bestFit="1" customWidth="1"/>
    <col min="29" max="30" width="11.81640625" bestFit="1" customWidth="1"/>
    <col min="31" max="31" width="9.36328125" bestFit="1" customWidth="1"/>
    <col min="32" max="32" width="8" bestFit="1" customWidth="1"/>
    <col min="51" max="52" width="12" bestFit="1" customWidth="1"/>
  </cols>
  <sheetData>
    <row r="4" spans="5:71" x14ac:dyDescent="0.35">
      <c r="AU4" t="s">
        <v>39</v>
      </c>
      <c r="AV4" t="s">
        <v>40</v>
      </c>
    </row>
    <row r="5" spans="5:71" x14ac:dyDescent="0.35">
      <c r="AU5" s="3">
        <v>0</v>
      </c>
      <c r="AV5" s="10">
        <v>2845.1620499943451</v>
      </c>
    </row>
    <row r="6" spans="5:71" x14ac:dyDescent="0.35">
      <c r="AU6" s="3">
        <v>0.20000000000000051</v>
      </c>
      <c r="AV6" s="10">
        <v>2687.9922515909379</v>
      </c>
    </row>
    <row r="7" spans="5:71" x14ac:dyDescent="0.35">
      <c r="AU7" s="3">
        <v>0.39999999999999902</v>
      </c>
      <c r="AV7" s="10">
        <v>2448.1940743328091</v>
      </c>
    </row>
    <row r="8" spans="5:71" x14ac:dyDescent="0.35">
      <c r="E8" t="s">
        <v>42</v>
      </c>
      <c r="AU8" s="3">
        <v>0.54999999999999916</v>
      </c>
      <c r="AV8" s="10">
        <v>2114.3606806376374</v>
      </c>
    </row>
    <row r="9" spans="5:71" x14ac:dyDescent="0.35">
      <c r="E9">
        <v>1</v>
      </c>
      <c r="AU9" s="3">
        <v>0.65013302460581079</v>
      </c>
      <c r="AV9" s="10">
        <v>1807.7843692250344</v>
      </c>
    </row>
    <row r="11" spans="5:71" x14ac:dyDescent="0.35">
      <c r="G11" t="s">
        <v>28</v>
      </c>
      <c r="H11" t="s">
        <v>28</v>
      </c>
      <c r="I11" t="s">
        <v>28</v>
      </c>
      <c r="J11" t="s">
        <v>32</v>
      </c>
      <c r="K11" t="s">
        <v>33</v>
      </c>
      <c r="L11" t="s">
        <v>33</v>
      </c>
      <c r="M11" t="s">
        <v>33</v>
      </c>
      <c r="N11" t="s">
        <v>41</v>
      </c>
      <c r="O11" t="s">
        <v>37</v>
      </c>
      <c r="P11" t="s">
        <v>37</v>
      </c>
      <c r="Q11" t="s">
        <v>37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44</v>
      </c>
      <c r="AB11" t="s">
        <v>45</v>
      </c>
      <c r="AC11" t="s">
        <v>43</v>
      </c>
      <c r="BF11" t="s">
        <v>28</v>
      </c>
      <c r="BG11" t="s">
        <v>28</v>
      </c>
      <c r="BH11" t="s">
        <v>28</v>
      </c>
      <c r="BI11" t="s">
        <v>32</v>
      </c>
      <c r="BJ11" t="s">
        <v>33</v>
      </c>
      <c r="BK11" t="s">
        <v>33</v>
      </c>
      <c r="BL11" t="s">
        <v>33</v>
      </c>
      <c r="BM11" t="s">
        <v>41</v>
      </c>
      <c r="BN11" t="s">
        <v>38</v>
      </c>
      <c r="BO11" t="s">
        <v>38</v>
      </c>
      <c r="BP11" t="s">
        <v>38</v>
      </c>
      <c r="BQ11" t="s">
        <v>38</v>
      </c>
      <c r="BR11" t="s">
        <v>38</v>
      </c>
      <c r="BS11" t="s">
        <v>38</v>
      </c>
    </row>
    <row r="12" spans="5:71" x14ac:dyDescent="0.35">
      <c r="G12" t="s">
        <v>29</v>
      </c>
      <c r="H12" t="s">
        <v>29</v>
      </c>
      <c r="I12" t="s">
        <v>29</v>
      </c>
      <c r="J12" t="s">
        <v>29</v>
      </c>
      <c r="K12" t="s">
        <v>29</v>
      </c>
      <c r="L12" t="s">
        <v>29</v>
      </c>
      <c r="M12" t="s">
        <v>29</v>
      </c>
      <c r="N12" t="s">
        <v>29</v>
      </c>
      <c r="O12" t="s">
        <v>35</v>
      </c>
      <c r="P12" t="s">
        <v>34</v>
      </c>
      <c r="Q12" t="s">
        <v>36</v>
      </c>
      <c r="R12" t="s">
        <v>35</v>
      </c>
      <c r="S12" t="s">
        <v>35</v>
      </c>
      <c r="T12" t="s">
        <v>35</v>
      </c>
      <c r="U12" t="s">
        <v>34</v>
      </c>
      <c r="V12" t="s">
        <v>34</v>
      </c>
      <c r="W12" t="s">
        <v>34</v>
      </c>
      <c r="X12" t="s">
        <v>36</v>
      </c>
      <c r="Y12" t="s">
        <v>36</v>
      </c>
      <c r="Z12" t="s">
        <v>36</v>
      </c>
      <c r="AA12" t="s">
        <v>35</v>
      </c>
      <c r="AB12" t="s">
        <v>35</v>
      </c>
      <c r="AC12" t="s">
        <v>35</v>
      </c>
      <c r="AE12" t="s">
        <v>35</v>
      </c>
      <c r="AF12" t="s">
        <v>35</v>
      </c>
      <c r="AG12" t="s">
        <v>34</v>
      </c>
      <c r="AH12" t="s">
        <v>34</v>
      </c>
      <c r="AI12" t="s">
        <v>36</v>
      </c>
      <c r="AJ12" t="s">
        <v>36</v>
      </c>
      <c r="AV12" t="s">
        <v>64</v>
      </c>
      <c r="AW12" t="s">
        <v>65</v>
      </c>
      <c r="BF12" t="s">
        <v>29</v>
      </c>
      <c r="BG12" t="s">
        <v>29</v>
      </c>
      <c r="BH12" t="s">
        <v>29</v>
      </c>
      <c r="BI12" t="s">
        <v>29</v>
      </c>
      <c r="BJ12" t="s">
        <v>29</v>
      </c>
      <c r="BK12" t="s">
        <v>29</v>
      </c>
      <c r="BL12" t="s">
        <v>29</v>
      </c>
      <c r="BM12" t="s">
        <v>29</v>
      </c>
      <c r="BN12" t="s">
        <v>35</v>
      </c>
      <c r="BO12" t="s">
        <v>35</v>
      </c>
      <c r="BP12" t="s">
        <v>35</v>
      </c>
      <c r="BQ12" t="s">
        <v>34</v>
      </c>
      <c r="BR12" t="s">
        <v>34</v>
      </c>
      <c r="BS12" t="s">
        <v>34</v>
      </c>
    </row>
    <row r="13" spans="5:71" x14ac:dyDescent="0.35">
      <c r="E13" t="s">
        <v>26</v>
      </c>
      <c r="F13" t="s">
        <v>27</v>
      </c>
      <c r="G13" t="s">
        <v>30</v>
      </c>
      <c r="H13" t="s">
        <v>31</v>
      </c>
      <c r="I13" t="s">
        <v>25</v>
      </c>
      <c r="J13" t="s">
        <v>29</v>
      </c>
      <c r="K13" t="s">
        <v>29</v>
      </c>
      <c r="L13" t="s">
        <v>29</v>
      </c>
      <c r="M13" t="s">
        <v>29</v>
      </c>
      <c r="N13" t="s">
        <v>29</v>
      </c>
      <c r="O13" t="s">
        <v>29</v>
      </c>
      <c r="P13" t="s">
        <v>29</v>
      </c>
      <c r="Q13" t="s">
        <v>29</v>
      </c>
      <c r="R13" t="s">
        <v>30</v>
      </c>
      <c r="S13" t="s">
        <v>31</v>
      </c>
      <c r="T13" t="s">
        <v>25</v>
      </c>
      <c r="U13" t="s">
        <v>30</v>
      </c>
      <c r="V13" t="s">
        <v>31</v>
      </c>
      <c r="W13" t="s">
        <v>25</v>
      </c>
      <c r="X13" t="s">
        <v>30</v>
      </c>
      <c r="Y13" t="s">
        <v>31</v>
      </c>
      <c r="Z13" t="s">
        <v>25</v>
      </c>
      <c r="AA13" t="s">
        <v>29</v>
      </c>
      <c r="AB13" t="s">
        <v>29</v>
      </c>
      <c r="AC13" t="s">
        <v>29</v>
      </c>
      <c r="AE13" t="s">
        <v>26</v>
      </c>
      <c r="AF13" t="s">
        <v>27</v>
      </c>
      <c r="AG13" t="s">
        <v>26</v>
      </c>
      <c r="AH13" t="s">
        <v>27</v>
      </c>
      <c r="AI13" t="s">
        <v>26</v>
      </c>
      <c r="AJ13" t="s">
        <v>27</v>
      </c>
      <c r="AN13" t="s">
        <v>39</v>
      </c>
      <c r="AO13" t="s">
        <v>40</v>
      </c>
      <c r="AU13" t="s">
        <v>62</v>
      </c>
      <c r="AV13" t="s">
        <v>63</v>
      </c>
      <c r="AW13" t="s">
        <v>63</v>
      </c>
      <c r="AX13" t="s">
        <v>66</v>
      </c>
      <c r="AY13" t="s">
        <v>67</v>
      </c>
      <c r="AZ13" t="s">
        <v>68</v>
      </c>
      <c r="BD13" t="s">
        <v>26</v>
      </c>
      <c r="BE13" t="s">
        <v>27</v>
      </c>
      <c r="BF13" t="s">
        <v>30</v>
      </c>
      <c r="BG13" t="s">
        <v>31</v>
      </c>
      <c r="BH13" t="s">
        <v>25</v>
      </c>
      <c r="BI13" t="s">
        <v>29</v>
      </c>
      <c r="BJ13" t="s">
        <v>29</v>
      </c>
      <c r="BK13" t="s">
        <v>29</v>
      </c>
      <c r="BL13" t="s">
        <v>29</v>
      </c>
      <c r="BM13" t="s">
        <v>29</v>
      </c>
      <c r="BN13" t="s">
        <v>30</v>
      </c>
      <c r="BO13" t="s">
        <v>31</v>
      </c>
      <c r="BP13" t="s">
        <v>25</v>
      </c>
      <c r="BQ13" t="s">
        <v>30</v>
      </c>
      <c r="BR13" t="s">
        <v>31</v>
      </c>
      <c r="BS13" t="s">
        <v>25</v>
      </c>
    </row>
    <row r="14" spans="5:71" x14ac:dyDescent="0.35">
      <c r="E14">
        <v>1</v>
      </c>
      <c r="F14">
        <v>0</v>
      </c>
      <c r="G14" cm="1">
        <f t="array" ref="G14:I21">data_change_basis(E13:F13,G13:I13,E14:F21,FALSE,FALSE,FALSE)</f>
        <v>1</v>
      </c>
      <c r="H14">
        <v>0</v>
      </c>
      <c r="I14">
        <v>1</v>
      </c>
      <c r="J14" t="s">
        <v>34</v>
      </c>
      <c r="K14" t="s">
        <v>35</v>
      </c>
      <c r="L14" t="s">
        <v>34</v>
      </c>
      <c r="M14" t="s">
        <v>29</v>
      </c>
      <c r="N14" cm="1">
        <f t="array" ref="N14:AC21">ca_calculate($E$8,G11:M13,G14:M21,N11:AC13,O12:Q12,$E$9)</f>
        <v>2845.1620499943451</v>
      </c>
      <c r="O14">
        <v>1</v>
      </c>
      <c r="P14">
        <v>1</v>
      </c>
      <c r="Q14" t="str">
        <v/>
      </c>
      <c r="R14">
        <v>0.5</v>
      </c>
      <c r="S14">
        <v>0</v>
      </c>
      <c r="T14">
        <v>0.5</v>
      </c>
      <c r="U14">
        <v>0.5</v>
      </c>
      <c r="V14">
        <v>0</v>
      </c>
      <c r="W14">
        <v>0.5</v>
      </c>
      <c r="X14" t="str">
        <v/>
      </c>
      <c r="Y14" t="str">
        <v/>
      </c>
      <c r="Z14" t="str">
        <v/>
      </c>
      <c r="AA14">
        <v>-418384.29977614147</v>
      </c>
      <c r="AB14">
        <v>-938291.41374129162</v>
      </c>
      <c r="AC14">
        <v>182.73374409945595</v>
      </c>
      <c r="AE14" s="3" cm="1">
        <f t="array" ref="AE14:AF21">data_change_basis(R13:T13,AE13:AF13,R14:T21,FALSE,FALSE,TRUE)</f>
        <v>1</v>
      </c>
      <c r="AF14" s="3">
        <v>0</v>
      </c>
      <c r="AG14" s="3" cm="1">
        <f t="array" ref="AG14:AH21">data_change_basis(U13:W13,AG13:AH13,U14:W21,FALSE,FALSE,TRUE)</f>
        <v>1</v>
      </c>
      <c r="AH14" s="3">
        <v>0</v>
      </c>
      <c r="AI14" s="3" t="str" cm="1">
        <f t="array" ref="AI14:AJ21">data_change_basis(X13:Z13,AI13:AJ13,X14:Z21,FALSE,FALSE,TRUE)</f>
        <v/>
      </c>
      <c r="AJ14" s="3" t="str">
        <v/>
      </c>
      <c r="AN14" s="7">
        <f t="shared" ref="AN14:AN21" si="0">AF14</f>
        <v>0</v>
      </c>
      <c r="AO14" s="4">
        <f t="shared" ref="AO14:AO21" si="1">N14</f>
        <v>2845.1620499943451</v>
      </c>
      <c r="AU14" s="3">
        <v>0</v>
      </c>
      <c r="AV14" s="10">
        <v>2845.1620499999999</v>
      </c>
      <c r="AW14" s="10">
        <v>2845.1620499999999</v>
      </c>
      <c r="AX14" s="10">
        <f t="shared" ref="AX14:AX45" si="2">BM14</f>
        <v>2845.1620499943451</v>
      </c>
      <c r="AY14" s="10">
        <f>AV14-AX14</f>
        <v>5.6547833082731813E-9</v>
      </c>
      <c r="AZ14" s="10">
        <f>AW14-AX14</f>
        <v>5.6547833082731813E-9</v>
      </c>
      <c r="BD14">
        <f>1-BE14</f>
        <v>1</v>
      </c>
      <c r="BE14">
        <f t="shared" ref="BE14:BE45" si="3">AU14</f>
        <v>0</v>
      </c>
      <c r="BF14" cm="1">
        <f t="array" ref="BF14:BH78">data_change_basis(BD13:BE13,BF13:BH13,BD14:BE78,FALSE,FALSE,FALSE)</f>
        <v>1</v>
      </c>
      <c r="BG14">
        <v>0</v>
      </c>
      <c r="BH14">
        <v>1</v>
      </c>
      <c r="BI14" t="s">
        <v>34</v>
      </c>
      <c r="BJ14" t="s">
        <v>35</v>
      </c>
      <c r="BK14" t="s">
        <v>34</v>
      </c>
      <c r="BL14" t="s">
        <v>29</v>
      </c>
      <c r="BM14" cm="1">
        <f t="array" ref="BM14:BS78">ca_calculate($E$8,BF11:BL13,BF14:BL78,BM11:BS13,BJ14:BK14,$E$9)</f>
        <v>2845.1620499943451</v>
      </c>
      <c r="BN14">
        <v>0.5</v>
      </c>
      <c r="BO14">
        <v>0</v>
      </c>
      <c r="BP14">
        <v>0.5</v>
      </c>
      <c r="BQ14">
        <v>0.5</v>
      </c>
      <c r="BR14">
        <v>0</v>
      </c>
      <c r="BS14">
        <v>0.5</v>
      </c>
    </row>
    <row r="15" spans="5:71" x14ac:dyDescent="0.35">
      <c r="E15">
        <v>0.8</v>
      </c>
      <c r="F15">
        <v>0.2</v>
      </c>
      <c r="G15">
        <v>0.8</v>
      </c>
      <c r="H15">
        <v>0.2</v>
      </c>
      <c r="I15">
        <v>1</v>
      </c>
      <c r="J15" t="s">
        <v>34</v>
      </c>
      <c r="K15" t="s">
        <v>35</v>
      </c>
      <c r="L15" t="s">
        <v>34</v>
      </c>
      <c r="M15" t="s">
        <v>29</v>
      </c>
      <c r="N15">
        <v>2687.9922515909379</v>
      </c>
      <c r="O15">
        <v>1</v>
      </c>
      <c r="P15">
        <v>1</v>
      </c>
      <c r="Q15" t="str">
        <v/>
      </c>
      <c r="R15">
        <v>0.3999999999999998</v>
      </c>
      <c r="S15">
        <v>0.10000000000000028</v>
      </c>
      <c r="T15">
        <v>0.5</v>
      </c>
      <c r="U15">
        <v>0.48657599179745292</v>
      </c>
      <c r="V15">
        <v>1.3424008202547084E-2</v>
      </c>
      <c r="W15">
        <v>0.5</v>
      </c>
      <c r="X15" t="str">
        <v/>
      </c>
      <c r="Y15" t="str">
        <v/>
      </c>
      <c r="Z15" t="str">
        <v/>
      </c>
      <c r="AA15">
        <v>-378652.45738561265</v>
      </c>
      <c r="AB15">
        <v>-873256.54423030932</v>
      </c>
      <c r="AC15">
        <v>184.0050270055489</v>
      </c>
      <c r="AE15" s="3">
        <v>0.7999999999999996</v>
      </c>
      <c r="AF15" s="3">
        <v>0.20000000000000051</v>
      </c>
      <c r="AG15" s="3">
        <v>0.97315198359490585</v>
      </c>
      <c r="AH15" s="3">
        <v>2.6848016405094155E-2</v>
      </c>
      <c r="AI15" s="3" t="str">
        <v/>
      </c>
      <c r="AJ15" s="3" t="str">
        <v/>
      </c>
      <c r="AN15" s="7">
        <f t="shared" si="0"/>
        <v>0.20000000000000051</v>
      </c>
      <c r="AO15" s="4">
        <f t="shared" si="1"/>
        <v>2687.9922515909379</v>
      </c>
      <c r="AU15" s="3">
        <v>9.3749999999999997E-3</v>
      </c>
      <c r="AV15" s="10">
        <v>2840.3324356545099</v>
      </c>
      <c r="AW15" s="10">
        <v>2839.6225304689701</v>
      </c>
      <c r="AX15" s="10">
        <f t="shared" si="2"/>
        <v>2838.3795210890071</v>
      </c>
      <c r="AY15" s="10">
        <f t="shared" ref="AY15:AY78" si="4">AV15-AX15</f>
        <v>1.9529145655028515</v>
      </c>
      <c r="AZ15" s="10">
        <f t="shared" ref="AZ15:AZ78" si="5">AW15-AX15</f>
        <v>1.2430093799630413</v>
      </c>
      <c r="BD15">
        <f t="shared" ref="BD15:BD78" si="6">1-BE15</f>
        <v>0.99062499999999998</v>
      </c>
      <c r="BE15">
        <f t="shared" si="3"/>
        <v>9.3749999999999997E-3</v>
      </c>
      <c r="BF15">
        <v>0.99062499999999998</v>
      </c>
      <c r="BG15">
        <v>9.3749999999999997E-3</v>
      </c>
      <c r="BH15">
        <v>1</v>
      </c>
      <c r="BI15" t="s">
        <v>34</v>
      </c>
      <c r="BJ15" t="s">
        <v>35</v>
      </c>
      <c r="BK15" t="s">
        <v>34</v>
      </c>
      <c r="BL15" t="s">
        <v>29</v>
      </c>
      <c r="BM15">
        <v>2838.3795210890071</v>
      </c>
      <c r="BN15">
        <v>0.49531249999999993</v>
      </c>
      <c r="BO15">
        <v>4.6875000000000475E-3</v>
      </c>
      <c r="BP15">
        <v>0.5</v>
      </c>
      <c r="BQ15">
        <v>0.49931656142946484</v>
      </c>
      <c r="BR15">
        <v>6.8343857053519837E-4</v>
      </c>
      <c r="BS15">
        <v>0.5</v>
      </c>
    </row>
    <row r="16" spans="5:71" x14ac:dyDescent="0.35">
      <c r="E16">
        <v>0.6</v>
      </c>
      <c r="F16">
        <v>0.4</v>
      </c>
      <c r="G16">
        <v>0.6</v>
      </c>
      <c r="H16">
        <v>0.4</v>
      </c>
      <c r="I16">
        <v>1</v>
      </c>
      <c r="J16" t="s">
        <v>34</v>
      </c>
      <c r="K16" t="s">
        <v>35</v>
      </c>
      <c r="L16" t="s">
        <v>34</v>
      </c>
      <c r="M16" t="s">
        <v>29</v>
      </c>
      <c r="N16">
        <v>2448.1940743328091</v>
      </c>
      <c r="O16">
        <v>1</v>
      </c>
      <c r="P16">
        <v>1</v>
      </c>
      <c r="Q16" t="str">
        <v/>
      </c>
      <c r="R16">
        <v>0.30000000000000054</v>
      </c>
      <c r="S16">
        <v>0.19999999999999951</v>
      </c>
      <c r="T16">
        <v>0.5</v>
      </c>
      <c r="U16">
        <v>0.47091402369501806</v>
      </c>
      <c r="V16">
        <v>2.9085976304981945E-2</v>
      </c>
      <c r="W16">
        <v>0.5</v>
      </c>
      <c r="X16" t="str">
        <v/>
      </c>
      <c r="Y16" t="str">
        <v/>
      </c>
      <c r="Z16" t="str">
        <v/>
      </c>
      <c r="AA16">
        <v>-344329.72947468387</v>
      </c>
      <c r="AB16">
        <v>-785092.68729020329</v>
      </c>
      <c r="AC16">
        <v>180.03595484383234</v>
      </c>
      <c r="AE16" s="3">
        <v>0.60000000000000098</v>
      </c>
      <c r="AF16" s="3">
        <v>0.39999999999999902</v>
      </c>
      <c r="AG16" s="3">
        <v>0.94182804739003601</v>
      </c>
      <c r="AH16" s="3">
        <v>5.8171952609964002E-2</v>
      </c>
      <c r="AI16" s="3" t="str">
        <v/>
      </c>
      <c r="AJ16" s="3" t="str">
        <v/>
      </c>
      <c r="AN16" s="7">
        <f t="shared" si="0"/>
        <v>0.39999999999999902</v>
      </c>
      <c r="AO16" s="4">
        <f t="shared" si="1"/>
        <v>2448.1940743328091</v>
      </c>
      <c r="AU16" s="3">
        <v>1.8749999999999999E-2</v>
      </c>
      <c r="AV16" s="10">
        <v>2835.1077027582801</v>
      </c>
      <c r="AW16" s="10">
        <v>2833.8689780091099</v>
      </c>
      <c r="AX16" s="10">
        <f t="shared" si="2"/>
        <v>2831.5732092011303</v>
      </c>
      <c r="AY16" s="10">
        <f t="shared" si="4"/>
        <v>3.5344935571497444</v>
      </c>
      <c r="AZ16" s="10">
        <f t="shared" si="5"/>
        <v>2.2957688079795844</v>
      </c>
      <c r="BD16">
        <f t="shared" si="6"/>
        <v>0.98124999999999996</v>
      </c>
      <c r="BE16">
        <f t="shared" si="3"/>
        <v>1.8749999999999999E-2</v>
      </c>
      <c r="BF16">
        <v>0.98124999999999996</v>
      </c>
      <c r="BG16">
        <v>1.8749999999999999E-2</v>
      </c>
      <c r="BH16">
        <v>1</v>
      </c>
      <c r="BI16" t="s">
        <v>34</v>
      </c>
      <c r="BJ16" t="s">
        <v>35</v>
      </c>
      <c r="BK16" t="s">
        <v>34</v>
      </c>
      <c r="BL16" t="s">
        <v>29</v>
      </c>
      <c r="BM16">
        <v>2831.5732092011303</v>
      </c>
      <c r="BN16">
        <v>0.49062500000000009</v>
      </c>
      <c r="BO16">
        <v>9.3749999999999077E-3</v>
      </c>
      <c r="BP16">
        <v>0.5</v>
      </c>
      <c r="BQ16">
        <v>0.4986426064309521</v>
      </c>
      <c r="BR16">
        <v>1.3573935690478845E-3</v>
      </c>
      <c r="BS16">
        <v>0.5</v>
      </c>
    </row>
    <row r="17" spans="5:71" x14ac:dyDescent="0.35">
      <c r="E17">
        <v>0.45</v>
      </c>
      <c r="F17">
        <v>0.55000000000000004</v>
      </c>
      <c r="G17">
        <v>0.45</v>
      </c>
      <c r="H17">
        <v>0.55000000000000004</v>
      </c>
      <c r="I17">
        <v>1</v>
      </c>
      <c r="J17" t="s">
        <v>34</v>
      </c>
      <c r="K17" t="s">
        <v>35</v>
      </c>
      <c r="L17" t="s">
        <v>34</v>
      </c>
      <c r="M17" t="s">
        <v>29</v>
      </c>
      <c r="N17">
        <v>2114.3606806376374</v>
      </c>
      <c r="O17">
        <v>1</v>
      </c>
      <c r="P17">
        <v>1</v>
      </c>
      <c r="Q17" t="str">
        <v/>
      </c>
      <c r="R17">
        <v>0.22500000000000042</v>
      </c>
      <c r="S17">
        <v>0.27499999999999963</v>
      </c>
      <c r="T17">
        <v>0.5</v>
      </c>
      <c r="U17">
        <v>0.44818813493776433</v>
      </c>
      <c r="V17">
        <v>5.1811865062235701E-2</v>
      </c>
      <c r="W17">
        <v>0.5</v>
      </c>
      <c r="X17" t="str">
        <v/>
      </c>
      <c r="Y17" t="str">
        <v/>
      </c>
      <c r="Z17" t="str">
        <v/>
      </c>
      <c r="AA17">
        <v>-326695.40401651734</v>
      </c>
      <c r="AB17">
        <v>-689155.96091763419</v>
      </c>
      <c r="AC17">
        <v>171.42796885146763</v>
      </c>
      <c r="AE17" s="3">
        <v>0.45000000000000084</v>
      </c>
      <c r="AF17" s="3">
        <v>0.54999999999999916</v>
      </c>
      <c r="AG17" s="3">
        <v>0.89637626987552865</v>
      </c>
      <c r="AH17" s="3">
        <v>0.10362373012447135</v>
      </c>
      <c r="AI17" s="3" t="str">
        <v/>
      </c>
      <c r="AJ17" s="3" t="str">
        <v/>
      </c>
      <c r="AN17" s="7">
        <f t="shared" si="0"/>
        <v>0.54999999999999916</v>
      </c>
      <c r="AO17" s="4">
        <f t="shared" si="1"/>
        <v>2114.3606806376374</v>
      </c>
      <c r="AU17" s="3">
        <v>2.8125000000000001E-2</v>
      </c>
      <c r="AV17" s="10">
        <v>2829.5104299455202</v>
      </c>
      <c r="AW17" s="10">
        <v>2827.9067069453199</v>
      </c>
      <c r="AX17" s="10">
        <f t="shared" si="2"/>
        <v>2824.7387701994462</v>
      </c>
      <c r="AY17" s="10">
        <f t="shared" si="4"/>
        <v>4.7716597460739649</v>
      </c>
      <c r="AZ17" s="10">
        <f t="shared" si="5"/>
        <v>3.1679367458737033</v>
      </c>
      <c r="BD17">
        <f t="shared" si="6"/>
        <v>0.97187500000000004</v>
      </c>
      <c r="BE17">
        <f t="shared" si="3"/>
        <v>2.8125000000000001E-2</v>
      </c>
      <c r="BF17">
        <v>0.97187500000000004</v>
      </c>
      <c r="BG17">
        <v>2.8125000000000001E-2</v>
      </c>
      <c r="BH17">
        <v>1</v>
      </c>
      <c r="BI17" t="s">
        <v>34</v>
      </c>
      <c r="BJ17" t="s">
        <v>35</v>
      </c>
      <c r="BK17" t="s">
        <v>34</v>
      </c>
      <c r="BL17" t="s">
        <v>29</v>
      </c>
      <c r="BM17">
        <v>2824.7387701994462</v>
      </c>
      <c r="BN17">
        <v>0.48593749999999969</v>
      </c>
      <c r="BO17">
        <v>1.4062500000000333E-2</v>
      </c>
      <c r="BP17">
        <v>0.5</v>
      </c>
      <c r="BQ17">
        <v>0.49797746775225826</v>
      </c>
      <c r="BR17">
        <v>2.0225322477417356E-3</v>
      </c>
      <c r="BS17">
        <v>0.5</v>
      </c>
    </row>
    <row r="18" spans="5:71" x14ac:dyDescent="0.35">
      <c r="E18">
        <v>0.5</v>
      </c>
      <c r="F18">
        <v>0.5</v>
      </c>
      <c r="G18">
        <v>0.5</v>
      </c>
      <c r="H18">
        <v>0.5</v>
      </c>
      <c r="I18">
        <v>1</v>
      </c>
      <c r="J18" t="s">
        <v>35</v>
      </c>
      <c r="K18" t="s">
        <v>35</v>
      </c>
      <c r="L18" t="s">
        <v>34</v>
      </c>
      <c r="M18" t="s">
        <v>36</v>
      </c>
      <c r="N18">
        <v>1807.7843692250344</v>
      </c>
      <c r="O18">
        <v>1</v>
      </c>
      <c r="P18">
        <v>1</v>
      </c>
      <c r="Q18">
        <v>1</v>
      </c>
      <c r="R18">
        <v>0.17493348769709458</v>
      </c>
      <c r="S18">
        <v>0.32506651230290545</v>
      </c>
      <c r="T18">
        <v>0.5</v>
      </c>
      <c r="U18">
        <v>0.40482800360206078</v>
      </c>
      <c r="V18">
        <v>9.517199639793919E-2</v>
      </c>
      <c r="W18">
        <v>0.5</v>
      </c>
      <c r="X18">
        <v>2.2931929280375553E-2</v>
      </c>
      <c r="Y18">
        <v>0.47706807071962448</v>
      </c>
      <c r="Z18">
        <v>0.5</v>
      </c>
      <c r="AA18">
        <v>-317890.27942422125</v>
      </c>
      <c r="AB18">
        <v>-610987.02773135307</v>
      </c>
      <c r="AC18">
        <v>162.13036980332848</v>
      </c>
      <c r="AE18" s="3">
        <v>0.34986697539418921</v>
      </c>
      <c r="AF18" s="3">
        <v>0.65013302460581079</v>
      </c>
      <c r="AG18" s="3">
        <v>0.80965600720412167</v>
      </c>
      <c r="AH18" s="3">
        <v>0.19034399279587833</v>
      </c>
      <c r="AI18" s="3">
        <v>4.5863858560751154E-2</v>
      </c>
      <c r="AJ18" s="3">
        <v>0.95413614143924885</v>
      </c>
      <c r="AN18" s="8">
        <f t="shared" si="0"/>
        <v>0.65013302460581079</v>
      </c>
      <c r="AO18" s="6">
        <f t="shared" si="1"/>
        <v>1807.7843692250344</v>
      </c>
      <c r="AU18" s="3">
        <v>3.7499999999999999E-2</v>
      </c>
      <c r="AV18" s="10">
        <v>2823.56319585043</v>
      </c>
      <c r="AW18" s="10">
        <v>2821.7410316024602</v>
      </c>
      <c r="AX18" s="10">
        <f t="shared" si="2"/>
        <v>2817.8718573470414</v>
      </c>
      <c r="AY18" s="10">
        <f t="shared" si="4"/>
        <v>5.6913385033885788</v>
      </c>
      <c r="AZ18" s="10">
        <f t="shared" si="5"/>
        <v>3.869174255418784</v>
      </c>
      <c r="BD18">
        <f t="shared" si="6"/>
        <v>0.96250000000000002</v>
      </c>
      <c r="BE18">
        <f t="shared" si="3"/>
        <v>3.7499999999999999E-2</v>
      </c>
      <c r="BF18">
        <v>0.96250000000000002</v>
      </c>
      <c r="BG18">
        <v>3.7499999999999999E-2</v>
      </c>
      <c r="BH18">
        <v>1</v>
      </c>
      <c r="BI18" t="s">
        <v>34</v>
      </c>
      <c r="BJ18" t="s">
        <v>35</v>
      </c>
      <c r="BK18" t="s">
        <v>34</v>
      </c>
      <c r="BL18" t="s">
        <v>29</v>
      </c>
      <c r="BM18">
        <v>2817.8718573470414</v>
      </c>
      <c r="BN18">
        <v>0.48125000000000007</v>
      </c>
      <c r="BO18">
        <v>1.8749999999999958E-2</v>
      </c>
      <c r="BP18">
        <v>0.5</v>
      </c>
      <c r="BQ18">
        <v>0.49732048753896241</v>
      </c>
      <c r="BR18">
        <v>2.679512461037608E-3</v>
      </c>
      <c r="BS18">
        <v>0.5</v>
      </c>
    </row>
    <row r="19" spans="5:71" x14ac:dyDescent="0.35">
      <c r="E19">
        <v>0.25</v>
      </c>
      <c r="F19">
        <v>0.75</v>
      </c>
      <c r="G19">
        <v>0.25</v>
      </c>
      <c r="H19">
        <v>0.75</v>
      </c>
      <c r="I19">
        <v>1</v>
      </c>
      <c r="J19" t="s">
        <v>36</v>
      </c>
      <c r="K19" t="s">
        <v>35</v>
      </c>
      <c r="L19" t="s">
        <v>36</v>
      </c>
      <c r="M19" t="s">
        <v>29</v>
      </c>
      <c r="N19">
        <v>1976.8527654357181</v>
      </c>
      <c r="O19">
        <v>1</v>
      </c>
      <c r="P19" t="str">
        <v/>
      </c>
      <c r="Q19">
        <v>1</v>
      </c>
      <c r="R19">
        <v>0.12500000000000022</v>
      </c>
      <c r="S19">
        <v>0.37499999999999983</v>
      </c>
      <c r="T19">
        <v>0.5</v>
      </c>
      <c r="U19" t="str">
        <v/>
      </c>
      <c r="V19" t="str">
        <v/>
      </c>
      <c r="W19" t="str">
        <v/>
      </c>
      <c r="X19">
        <v>1.1629207525675147E-2</v>
      </c>
      <c r="Y19">
        <v>0.4883707924743248</v>
      </c>
      <c r="Z19">
        <v>0.5</v>
      </c>
      <c r="AA19">
        <v>-280068.19207628898</v>
      </c>
      <c r="AB19">
        <v>-610168.31400482403</v>
      </c>
      <c r="AC19">
        <v>166.98265429786704</v>
      </c>
      <c r="AE19" s="3">
        <v>0.25000000000000044</v>
      </c>
      <c r="AF19" s="3">
        <v>0.74999999999999956</v>
      </c>
      <c r="AG19" s="3" t="str">
        <v/>
      </c>
      <c r="AH19" s="3" t="str">
        <v/>
      </c>
      <c r="AI19" s="3">
        <v>2.3258415051350404E-2</v>
      </c>
      <c r="AJ19" s="3">
        <v>0.9767415849486496</v>
      </c>
      <c r="AN19" s="9">
        <f t="shared" si="0"/>
        <v>0.74999999999999956</v>
      </c>
      <c r="AO19" s="5">
        <f t="shared" si="1"/>
        <v>1976.8527654357181</v>
      </c>
      <c r="AU19" s="3">
        <v>4.6875E-2</v>
      </c>
      <c r="AV19" s="10">
        <v>2817.2885791072099</v>
      </c>
      <c r="AW19" s="10">
        <v>2815.3772663054101</v>
      </c>
      <c r="AX19" s="10">
        <f t="shared" si="2"/>
        <v>2810.9679223663061</v>
      </c>
      <c r="AY19" s="10">
        <f t="shared" si="4"/>
        <v>6.3206567409038144</v>
      </c>
      <c r="AZ19" s="10">
        <f t="shared" si="5"/>
        <v>4.4093439391040192</v>
      </c>
      <c r="BD19">
        <f t="shared" si="6"/>
        <v>0.953125</v>
      </c>
      <c r="BE19">
        <f t="shared" si="3"/>
        <v>4.6875E-2</v>
      </c>
      <c r="BF19">
        <v>0.953125</v>
      </c>
      <c r="BG19">
        <v>4.6875E-2</v>
      </c>
      <c r="BH19">
        <v>1</v>
      </c>
      <c r="BI19" t="s">
        <v>34</v>
      </c>
      <c r="BJ19" t="s">
        <v>35</v>
      </c>
      <c r="BK19" t="s">
        <v>34</v>
      </c>
      <c r="BL19" t="s">
        <v>29</v>
      </c>
      <c r="BM19">
        <v>2810.9679223663061</v>
      </c>
      <c r="BN19">
        <v>0.47656250000000006</v>
      </c>
      <c r="BO19">
        <v>2.3437499999999917E-2</v>
      </c>
      <c r="BP19">
        <v>0.5</v>
      </c>
      <c r="BQ19">
        <v>0.49667101611437542</v>
      </c>
      <c r="BR19">
        <v>3.3289838856246133E-3</v>
      </c>
      <c r="BS19">
        <v>0.5</v>
      </c>
    </row>
    <row r="20" spans="5:71" x14ac:dyDescent="0.35">
      <c r="E20">
        <v>0.1</v>
      </c>
      <c r="F20">
        <v>0.9</v>
      </c>
      <c r="G20">
        <v>0.1</v>
      </c>
      <c r="H20">
        <v>0.9</v>
      </c>
      <c r="I20">
        <v>1</v>
      </c>
      <c r="J20" t="s">
        <v>36</v>
      </c>
      <c r="K20" t="s">
        <v>35</v>
      </c>
      <c r="L20" t="s">
        <v>36</v>
      </c>
      <c r="M20" t="s">
        <v>29</v>
      </c>
      <c r="N20">
        <v>2161.265901241557</v>
      </c>
      <c r="O20">
        <v>1</v>
      </c>
      <c r="P20" t="str">
        <v/>
      </c>
      <c r="Q20">
        <v>1</v>
      </c>
      <c r="R20">
        <v>0.05</v>
      </c>
      <c r="S20">
        <v>0.45</v>
      </c>
      <c r="T20">
        <v>0.5</v>
      </c>
      <c r="U20" t="str">
        <v/>
      </c>
      <c r="V20" t="str">
        <v/>
      </c>
      <c r="W20" t="str">
        <v/>
      </c>
      <c r="X20">
        <v>3.0048197798786414E-3</v>
      </c>
      <c r="Y20">
        <v>0.4969951802201214</v>
      </c>
      <c r="Z20">
        <v>0.5</v>
      </c>
      <c r="AA20">
        <v>-225917.70687132172</v>
      </c>
      <c r="AB20">
        <v>-594781.88325954671</v>
      </c>
      <c r="AC20">
        <v>170.67042800070456</v>
      </c>
      <c r="AE20" s="3">
        <v>0.10000000000000009</v>
      </c>
      <c r="AF20" s="3">
        <v>0.89999999999999991</v>
      </c>
      <c r="AG20" s="3" t="str">
        <v/>
      </c>
      <c r="AH20" s="3" t="str">
        <v/>
      </c>
      <c r="AI20" s="3">
        <v>6.009639559757308E-3</v>
      </c>
      <c r="AJ20" s="3">
        <v>0.99399036044024269</v>
      </c>
      <c r="AN20" s="9">
        <f t="shared" si="0"/>
        <v>0.89999999999999991</v>
      </c>
      <c r="AO20" s="5">
        <f t="shared" si="1"/>
        <v>2161.265901241557</v>
      </c>
      <c r="AU20" s="3">
        <v>5.6250000000000001E-2</v>
      </c>
      <c r="AV20" s="10">
        <v>2810.7091583500801</v>
      </c>
      <c r="AW20" s="10">
        <v>2808.8207253790401</v>
      </c>
      <c r="AX20" s="10">
        <f t="shared" si="2"/>
        <v>2804.022206034972</v>
      </c>
      <c r="AY20" s="10">
        <f t="shared" si="4"/>
        <v>6.6869523151081012</v>
      </c>
      <c r="AZ20" s="10">
        <f t="shared" si="5"/>
        <v>4.7985193440681542</v>
      </c>
      <c r="BD20">
        <f t="shared" si="6"/>
        <v>0.94374999999999998</v>
      </c>
      <c r="BE20">
        <f t="shared" si="3"/>
        <v>5.6250000000000001E-2</v>
      </c>
      <c r="BF20">
        <v>0.94374999999999998</v>
      </c>
      <c r="BG20">
        <v>5.6250000000000001E-2</v>
      </c>
      <c r="BH20">
        <v>1</v>
      </c>
      <c r="BI20" t="s">
        <v>34</v>
      </c>
      <c r="BJ20" t="s">
        <v>35</v>
      </c>
      <c r="BK20" t="s">
        <v>34</v>
      </c>
      <c r="BL20" t="s">
        <v>29</v>
      </c>
      <c r="BM20">
        <v>2804.022206034972</v>
      </c>
      <c r="BN20">
        <v>0.47187500000000016</v>
      </c>
      <c r="BO20">
        <v>2.8124999999999841E-2</v>
      </c>
      <c r="BP20">
        <v>0.5</v>
      </c>
      <c r="BQ20">
        <v>0.49602841075075721</v>
      </c>
      <c r="BR20">
        <v>3.9715892492427907E-3</v>
      </c>
      <c r="BS20">
        <v>0.5</v>
      </c>
    </row>
    <row r="21" spans="5:71" x14ac:dyDescent="0.35">
      <c r="E21">
        <v>0</v>
      </c>
      <c r="F21">
        <v>1</v>
      </c>
      <c r="G21">
        <v>0</v>
      </c>
      <c r="H21">
        <v>1</v>
      </c>
      <c r="I21">
        <v>1</v>
      </c>
      <c r="J21" t="s">
        <v>36</v>
      </c>
      <c r="K21" t="s">
        <v>35</v>
      </c>
      <c r="L21" t="s">
        <v>36</v>
      </c>
      <c r="M21" t="s">
        <v>29</v>
      </c>
      <c r="N21">
        <v>2247.9744585881922</v>
      </c>
      <c r="O21">
        <v>1</v>
      </c>
      <c r="P21" t="str">
        <v/>
      </c>
      <c r="Q21">
        <v>1</v>
      </c>
      <c r="R21">
        <v>0</v>
      </c>
      <c r="S21">
        <v>0.5</v>
      </c>
      <c r="T21">
        <v>0.5</v>
      </c>
      <c r="U21" t="str">
        <v/>
      </c>
      <c r="V21" t="str">
        <v/>
      </c>
      <c r="W21" t="str">
        <v/>
      </c>
      <c r="X21">
        <v>0</v>
      </c>
      <c r="Y21">
        <v>0.5</v>
      </c>
      <c r="Z21">
        <v>0.5</v>
      </c>
      <c r="AA21">
        <v>-191232.03297608634</v>
      </c>
      <c r="AB21">
        <v>-574504.0040050894</v>
      </c>
      <c r="AC21">
        <v>170.49658618884467</v>
      </c>
      <c r="AE21" s="3">
        <v>0</v>
      </c>
      <c r="AF21" s="3">
        <v>1</v>
      </c>
      <c r="AG21" s="3" t="str">
        <v/>
      </c>
      <c r="AH21" s="3" t="str">
        <v/>
      </c>
      <c r="AI21" s="3">
        <v>0</v>
      </c>
      <c r="AJ21" s="3">
        <v>1</v>
      </c>
      <c r="AN21" s="9">
        <f t="shared" si="0"/>
        <v>1</v>
      </c>
      <c r="AO21" s="5">
        <f t="shared" si="1"/>
        <v>2247.9744585881922</v>
      </c>
      <c r="AU21" s="3">
        <v>6.5625000000000003E-2</v>
      </c>
      <c r="AV21" s="10">
        <v>2803.84751221325</v>
      </c>
      <c r="AW21" s="10">
        <v>2802.07672314823</v>
      </c>
      <c r="AX21" s="10">
        <f t="shared" si="2"/>
        <v>2797.0297281035082</v>
      </c>
      <c r="AY21" s="10">
        <f t="shared" si="4"/>
        <v>6.8177841097417513</v>
      </c>
      <c r="AZ21" s="10">
        <f t="shared" si="5"/>
        <v>5.0469950447218253</v>
      </c>
      <c r="BD21">
        <f t="shared" si="6"/>
        <v>0.93437499999999996</v>
      </c>
      <c r="BE21">
        <f t="shared" si="3"/>
        <v>6.5625000000000003E-2</v>
      </c>
      <c r="BF21">
        <v>0.93437499999999996</v>
      </c>
      <c r="BG21">
        <v>6.5625000000000003E-2</v>
      </c>
      <c r="BH21">
        <v>1</v>
      </c>
      <c r="BI21" t="s">
        <v>34</v>
      </c>
      <c r="BJ21" t="s">
        <v>35</v>
      </c>
      <c r="BK21" t="s">
        <v>34</v>
      </c>
      <c r="BL21" t="s">
        <v>29</v>
      </c>
      <c r="BM21">
        <v>2797.0297281035082</v>
      </c>
      <c r="BN21">
        <v>0.46718750000000009</v>
      </c>
      <c r="BO21">
        <v>3.281249999999996E-2</v>
      </c>
      <c r="BP21">
        <v>0.5</v>
      </c>
      <c r="BQ21">
        <v>0.49539203442649171</v>
      </c>
      <c r="BR21">
        <v>4.607965573508282E-3</v>
      </c>
      <c r="BS21">
        <v>0.5</v>
      </c>
    </row>
    <row r="22" spans="5:71" x14ac:dyDescent="0.35">
      <c r="AU22" s="3">
        <v>7.4999999999999997E-2</v>
      </c>
      <c r="AV22" s="10">
        <v>2796.7262193309198</v>
      </c>
      <c r="AW22" s="10">
        <v>2795.1505739378499</v>
      </c>
      <c r="AX22" s="10">
        <f t="shared" si="2"/>
        <v>2789.9852764917191</v>
      </c>
      <c r="AY22" s="10">
        <f t="shared" si="4"/>
        <v>6.7409428392006703</v>
      </c>
      <c r="AZ22" s="10">
        <f t="shared" si="5"/>
        <v>5.1652974461308077</v>
      </c>
      <c r="BD22">
        <f t="shared" si="6"/>
        <v>0.92500000000000004</v>
      </c>
      <c r="BE22">
        <f t="shared" si="3"/>
        <v>7.4999999999999997E-2</v>
      </c>
      <c r="BF22">
        <v>0.92500000000000004</v>
      </c>
      <c r="BG22">
        <v>7.4999999999999997E-2</v>
      </c>
      <c r="BH22">
        <v>1</v>
      </c>
      <c r="BI22" t="s">
        <v>34</v>
      </c>
      <c r="BJ22" t="s">
        <v>35</v>
      </c>
      <c r="BK22" t="s">
        <v>34</v>
      </c>
      <c r="BL22" t="s">
        <v>29</v>
      </c>
      <c r="BM22">
        <v>2789.9852764917191</v>
      </c>
      <c r="BN22">
        <v>0.46250000000000041</v>
      </c>
      <c r="BO22">
        <v>3.749999999999961E-2</v>
      </c>
      <c r="BP22">
        <v>0.5</v>
      </c>
      <c r="BQ22">
        <v>0.49476125456355324</v>
      </c>
      <c r="BR22">
        <v>5.2387454364467402E-3</v>
      </c>
      <c r="BS22">
        <v>0.5</v>
      </c>
    </row>
    <row r="23" spans="5:71" x14ac:dyDescent="0.35">
      <c r="AU23" s="3">
        <v>8.4375000000000006E-2</v>
      </c>
      <c r="AV23" s="10">
        <v>2789.3678583372998</v>
      </c>
      <c r="AW23" s="10">
        <v>2788.0475920727899</v>
      </c>
      <c r="AX23" s="10">
        <f t="shared" si="2"/>
        <v>2782.8833957207626</v>
      </c>
      <c r="AY23" s="10">
        <f t="shared" si="4"/>
        <v>6.4844626165372574</v>
      </c>
      <c r="AZ23" s="10">
        <f t="shared" si="5"/>
        <v>5.1641963520273748</v>
      </c>
      <c r="BD23">
        <f t="shared" si="6"/>
        <v>0.91562500000000002</v>
      </c>
      <c r="BE23">
        <f t="shared" si="3"/>
        <v>8.4375000000000006E-2</v>
      </c>
      <c r="BF23">
        <v>0.91562500000000002</v>
      </c>
      <c r="BG23">
        <v>8.4375000000000006E-2</v>
      </c>
      <c r="BH23">
        <v>1</v>
      </c>
      <c r="BI23" t="s">
        <v>34</v>
      </c>
      <c r="BJ23" t="s">
        <v>35</v>
      </c>
      <c r="BK23" t="s">
        <v>34</v>
      </c>
      <c r="BL23" t="s">
        <v>29</v>
      </c>
      <c r="BM23">
        <v>2782.8833957207626</v>
      </c>
      <c r="BN23">
        <v>0.45781249999999979</v>
      </c>
      <c r="BO23">
        <v>4.2187500000000204E-2</v>
      </c>
      <c r="BP23">
        <v>0.5</v>
      </c>
      <c r="BQ23">
        <v>0.49413544173918633</v>
      </c>
      <c r="BR23">
        <v>5.8645582608136742E-3</v>
      </c>
      <c r="BS23">
        <v>0.5</v>
      </c>
    </row>
    <row r="24" spans="5:71" x14ac:dyDescent="0.35">
      <c r="AU24" s="3">
        <v>9.375E-2</v>
      </c>
      <c r="AV24" s="10">
        <v>2781.7950078665999</v>
      </c>
      <c r="AW24" s="10">
        <v>2780.7730918779098</v>
      </c>
      <c r="AX24" s="10">
        <f t="shared" si="2"/>
        <v>2775.7183745330053</v>
      </c>
      <c r="AY24" s="10">
        <f t="shared" si="4"/>
        <v>6.0766333335946001</v>
      </c>
      <c r="AZ24" s="10">
        <f t="shared" si="5"/>
        <v>5.0547173449044749</v>
      </c>
      <c r="BD24">
        <f t="shared" si="6"/>
        <v>0.90625</v>
      </c>
      <c r="BE24">
        <f t="shared" si="3"/>
        <v>9.375E-2</v>
      </c>
      <c r="BF24">
        <v>0.90625</v>
      </c>
      <c r="BG24">
        <v>9.375E-2</v>
      </c>
      <c r="BH24">
        <v>1</v>
      </c>
      <c r="BI24" t="s">
        <v>34</v>
      </c>
      <c r="BJ24" t="s">
        <v>35</v>
      </c>
      <c r="BK24" t="s">
        <v>34</v>
      </c>
      <c r="BL24" t="s">
        <v>29</v>
      </c>
      <c r="BM24">
        <v>2775.7183745330053</v>
      </c>
      <c r="BN24">
        <v>0.45312499999999895</v>
      </c>
      <c r="BO24">
        <v>4.6875000000001034E-2</v>
      </c>
      <c r="BP24">
        <v>0.5</v>
      </c>
      <c r="BQ24">
        <v>0.4935139683652508</v>
      </c>
      <c r="BR24">
        <v>6.4860316347492009E-3</v>
      </c>
      <c r="BS24">
        <v>0.5</v>
      </c>
    </row>
    <row r="25" spans="5:71" x14ac:dyDescent="0.35">
      <c r="AO25">
        <v>1.01</v>
      </c>
      <c r="AP25">
        <v>1.03</v>
      </c>
      <c r="AU25" s="3">
        <v>0.10312499999999999</v>
      </c>
      <c r="AV25" s="10">
        <v>2774.0302465530299</v>
      </c>
      <c r="AW25" s="10">
        <v>2773.3323876780901</v>
      </c>
      <c r="AX25" s="10">
        <f t="shared" si="2"/>
        <v>2768.4842326499238</v>
      </c>
      <c r="AY25" s="10">
        <f t="shared" si="4"/>
        <v>5.5460139031060862</v>
      </c>
      <c r="AZ25" s="10">
        <f t="shared" si="5"/>
        <v>4.8481550281662749</v>
      </c>
      <c r="BD25">
        <f t="shared" si="6"/>
        <v>0.89687499999999998</v>
      </c>
      <c r="BE25">
        <f t="shared" si="3"/>
        <v>0.10312499999999999</v>
      </c>
      <c r="BF25">
        <v>0.89687499999999998</v>
      </c>
      <c r="BG25">
        <v>0.10312499999999999</v>
      </c>
      <c r="BH25">
        <v>1</v>
      </c>
      <c r="BI25" t="s">
        <v>34</v>
      </c>
      <c r="BJ25" t="s">
        <v>35</v>
      </c>
      <c r="BK25" t="s">
        <v>34</v>
      </c>
      <c r="BL25" t="s">
        <v>29</v>
      </c>
      <c r="BM25">
        <v>2768.4842326499238</v>
      </c>
      <c r="BN25">
        <v>0.44843750000000027</v>
      </c>
      <c r="BO25">
        <v>5.1562499999999768E-2</v>
      </c>
      <c r="BP25">
        <v>0.5</v>
      </c>
      <c r="BQ25">
        <v>0.49289620732813294</v>
      </c>
      <c r="BR25">
        <v>7.1037926718670839E-3</v>
      </c>
      <c r="BS25">
        <v>0.5</v>
      </c>
    </row>
    <row r="26" spans="5:71" x14ac:dyDescent="0.35">
      <c r="AN26" cm="1">
        <f t="array" ref="AN26:AQ26">TRANSPOSE(AN14:AN17)</f>
        <v>0</v>
      </c>
      <c r="AO26">
        <v>0.20000000000000051</v>
      </c>
      <c r="AP26">
        <v>0.39999999999999902</v>
      </c>
      <c r="AQ26">
        <v>0.54999999999999916</v>
      </c>
      <c r="AU26" s="3">
        <v>0.1125</v>
      </c>
      <c r="AV26" s="10">
        <v>2766.09615303079</v>
      </c>
      <c r="AW26" s="10">
        <v>2765.73079379821</v>
      </c>
      <c r="AX26" s="10">
        <f t="shared" si="2"/>
        <v>2761.1747066153007</v>
      </c>
      <c r="AY26" s="10">
        <f t="shared" si="4"/>
        <v>4.9214464154892994</v>
      </c>
      <c r="AZ26" s="10">
        <f t="shared" si="5"/>
        <v>4.556087182909323</v>
      </c>
      <c r="BD26">
        <f t="shared" si="6"/>
        <v>0.88749999999999996</v>
      </c>
      <c r="BE26">
        <f t="shared" si="3"/>
        <v>0.1125</v>
      </c>
      <c r="BF26">
        <v>0.88749999999999996</v>
      </c>
      <c r="BG26">
        <v>0.1125</v>
      </c>
      <c r="BH26">
        <v>1</v>
      </c>
      <c r="BI26" t="s">
        <v>34</v>
      </c>
      <c r="BJ26" t="s">
        <v>35</v>
      </c>
      <c r="BK26" t="s">
        <v>34</v>
      </c>
      <c r="BL26" t="s">
        <v>29</v>
      </c>
      <c r="BM26">
        <v>2761.1747066153007</v>
      </c>
      <c r="BN26">
        <v>0.44375000000000026</v>
      </c>
      <c r="BO26">
        <v>5.6249999999999731E-2</v>
      </c>
      <c r="BP26">
        <v>0.5</v>
      </c>
      <c r="BQ26">
        <v>0.49228153058150381</v>
      </c>
      <c r="BR26">
        <v>7.7184694184961834E-3</v>
      </c>
      <c r="BS26">
        <v>0.5</v>
      </c>
    </row>
    <row r="27" spans="5:71" x14ac:dyDescent="0.35">
      <c r="AN27" cm="1">
        <f t="array" ref="AN27:AQ27">TRANSPOSE(AO14:AO17)</f>
        <v>2845.1620499943451</v>
      </c>
      <c r="AO27">
        <v>2687.9922515909379</v>
      </c>
      <c r="AP27">
        <v>2448.1940743328091</v>
      </c>
      <c r="AQ27">
        <v>2114.3606806376374</v>
      </c>
      <c r="AU27" s="3">
        <v>0.121875</v>
      </c>
      <c r="AV27" s="10">
        <v>2758.0153059340901</v>
      </c>
      <c r="AW27" s="10">
        <v>2757.9736245631502</v>
      </c>
      <c r="AX27" s="10">
        <f t="shared" si="2"/>
        <v>2753.7832346684581</v>
      </c>
      <c r="AY27" s="10">
        <f t="shared" si="4"/>
        <v>4.2320712656319301</v>
      </c>
      <c r="AZ27" s="10">
        <f t="shared" si="5"/>
        <v>4.190389894692089</v>
      </c>
      <c r="BD27">
        <f t="shared" si="6"/>
        <v>0.87812500000000004</v>
      </c>
      <c r="BE27">
        <f t="shared" si="3"/>
        <v>0.121875</v>
      </c>
      <c r="BF27">
        <v>0.87812500000000004</v>
      </c>
      <c r="BG27">
        <v>0.121875</v>
      </c>
      <c r="BH27">
        <v>1</v>
      </c>
      <c r="BI27" t="s">
        <v>34</v>
      </c>
      <c r="BJ27" t="s">
        <v>35</v>
      </c>
      <c r="BK27" t="s">
        <v>34</v>
      </c>
      <c r="BL27" t="s">
        <v>29</v>
      </c>
      <c r="BM27">
        <v>2753.7832346684581</v>
      </c>
      <c r="BN27">
        <v>0.43906250000000152</v>
      </c>
      <c r="BO27">
        <v>6.0937499999998569E-2</v>
      </c>
      <c r="BP27">
        <v>0.5</v>
      </c>
      <c r="BQ27">
        <v>0.49166930768349204</v>
      </c>
      <c r="BR27">
        <v>8.3306923165079576E-3</v>
      </c>
      <c r="BS27">
        <v>0.5</v>
      </c>
    </row>
    <row r="28" spans="5:71" x14ac:dyDescent="0.35">
      <c r="AM28" t="s">
        <v>50</v>
      </c>
      <c r="AN28" t="s">
        <v>46</v>
      </c>
      <c r="AO28" t="s">
        <v>47</v>
      </c>
      <c r="AP28" t="s">
        <v>48</v>
      </c>
      <c r="AQ28" t="s">
        <v>49</v>
      </c>
      <c r="AR28" t="s">
        <v>39</v>
      </c>
      <c r="AS28" t="s">
        <v>40</v>
      </c>
      <c r="AU28" s="3">
        <v>0.13125000000000001</v>
      </c>
      <c r="AV28" s="10">
        <v>2749.8102838971399</v>
      </c>
      <c r="AW28" s="10">
        <v>2750.0661942977599</v>
      </c>
      <c r="AX28" s="10">
        <f t="shared" si="2"/>
        <v>2746.3029405894868</v>
      </c>
      <c r="AY28" s="10">
        <f t="shared" si="4"/>
        <v>3.5073433076531728</v>
      </c>
      <c r="AZ28" s="10">
        <f t="shared" si="5"/>
        <v>3.7632537082731687</v>
      </c>
      <c r="BD28">
        <f t="shared" si="6"/>
        <v>0.86875000000000002</v>
      </c>
      <c r="BE28">
        <f t="shared" si="3"/>
        <v>0.13125000000000001</v>
      </c>
      <c r="BF28">
        <v>0.86875000000000002</v>
      </c>
      <c r="BG28">
        <v>0.13125000000000001</v>
      </c>
      <c r="BH28">
        <v>1</v>
      </c>
      <c r="BI28" t="s">
        <v>34</v>
      </c>
      <c r="BJ28" t="s">
        <v>35</v>
      </c>
      <c r="BK28" t="s">
        <v>34</v>
      </c>
      <c r="BL28" t="s">
        <v>29</v>
      </c>
      <c r="BM28">
        <v>2746.3029405894868</v>
      </c>
      <c r="BN28">
        <v>0.43437500000000007</v>
      </c>
      <c r="BO28">
        <v>6.5624999999999961E-2</v>
      </c>
      <c r="BP28">
        <v>0.5</v>
      </c>
      <c r="BQ28">
        <v>0.49105890426901011</v>
      </c>
      <c r="BR28">
        <v>8.9410957309898655E-3</v>
      </c>
      <c r="BS28">
        <v>0.5</v>
      </c>
    </row>
    <row r="29" spans="5:71" x14ac:dyDescent="0.35">
      <c r="AM29">
        <v>0</v>
      </c>
      <c r="AN29">
        <f>(1-AM29)^3</f>
        <v>1</v>
      </c>
      <c r="AO29">
        <f>3*AM29*(1-AM29)^2*$AO$25</f>
        <v>0</v>
      </c>
      <c r="AP29">
        <f>3*AM29^2*(1-AM29)*$AP$25</f>
        <v>0</v>
      </c>
      <c r="AQ29">
        <f>AM29^3</f>
        <v>0</v>
      </c>
      <c r="AR29" cm="1">
        <f t="array" ref="AR29">SUM(_xlfn.ANCHORARRAY($AN$26)*$AN29:$AQ29)</f>
        <v>0</v>
      </c>
      <c r="AS29" cm="1">
        <f t="array" ref="AS29">SUM(_xlfn.ANCHORARRAY($AN$27)*$AN29:$AQ29)</f>
        <v>2845.1620499943451</v>
      </c>
      <c r="AU29" s="3">
        <v>0.140625</v>
      </c>
      <c r="AV29" s="10">
        <v>2741.5036655541498</v>
      </c>
      <c r="AW29" s="10">
        <v>2742.0138173269502</v>
      </c>
      <c r="AX29" s="10">
        <f t="shared" si="2"/>
        <v>2738.7266164569151</v>
      </c>
      <c r="AY29" s="10">
        <f t="shared" si="4"/>
        <v>2.7770490972347943</v>
      </c>
      <c r="AZ29" s="10">
        <f t="shared" si="5"/>
        <v>3.2872008700351216</v>
      </c>
      <c r="BD29">
        <f t="shared" si="6"/>
        <v>0.859375</v>
      </c>
      <c r="BE29">
        <f t="shared" si="3"/>
        <v>0.140625</v>
      </c>
      <c r="BF29">
        <v>0.859375</v>
      </c>
      <c r="BG29">
        <v>0.140625</v>
      </c>
      <c r="BH29">
        <v>1</v>
      </c>
      <c r="BI29" t="s">
        <v>34</v>
      </c>
      <c r="BJ29" t="s">
        <v>35</v>
      </c>
      <c r="BK29" t="s">
        <v>34</v>
      </c>
      <c r="BL29" t="s">
        <v>29</v>
      </c>
      <c r="BM29">
        <v>2738.7266164569151</v>
      </c>
      <c r="BN29">
        <v>0.42968750000000017</v>
      </c>
      <c r="BO29">
        <v>7.0312499999999875E-2</v>
      </c>
      <c r="BP29">
        <v>0.5</v>
      </c>
      <c r="BQ29">
        <v>0.49044968044704434</v>
      </c>
      <c r="BR29">
        <v>9.5503195529556394E-3</v>
      </c>
      <c r="BS29">
        <v>0.5</v>
      </c>
    </row>
    <row r="30" spans="5:71" x14ac:dyDescent="0.35">
      <c r="AM30">
        <v>0.2</v>
      </c>
      <c r="AN30">
        <f t="shared" ref="AN30:AN34" si="7">(1-AM30)^3</f>
        <v>0.51200000000000012</v>
      </c>
      <c r="AO30">
        <f t="shared" ref="AO30:AO34" si="8">3*AM30*(1-AM30)^2*$AO$25</f>
        <v>0.38784000000000013</v>
      </c>
      <c r="AP30">
        <f t="shared" ref="AP30:AP34" si="9">3*AM30^2*(1-AM30)*$AP$25</f>
        <v>9.8880000000000037E-2</v>
      </c>
      <c r="AQ30">
        <f t="shared" ref="AQ30:AQ34" si="10">AM30^3</f>
        <v>8.0000000000000019E-3</v>
      </c>
      <c r="AR30" cm="1">
        <f t="array" ref="AR30">SUM(_xlfn.ANCHORARRAY($AN$26)*$AN30:$AQ30)</f>
        <v>0.12152000000000013</v>
      </c>
      <c r="AS30" cm="1">
        <f t="array" ref="AS30">SUM(_xlfn.ANCHORARRAY($AN$27)*$AN30:$AQ30)</f>
        <v>2758.2261999692637</v>
      </c>
      <c r="AU30" s="3">
        <v>0.15</v>
      </c>
      <c r="AV30" s="10">
        <v>2733.1180295393201</v>
      </c>
      <c r="AW30" s="10">
        <v>2733.8218079755702</v>
      </c>
      <c r="AX30" s="10">
        <f t="shared" si="2"/>
        <v>2731.0467042565315</v>
      </c>
      <c r="AY30" s="10">
        <f t="shared" si="4"/>
        <v>2.0713252827886208</v>
      </c>
      <c r="AZ30" s="10">
        <f t="shared" si="5"/>
        <v>2.7751037190387251</v>
      </c>
      <c r="BD30">
        <f t="shared" si="6"/>
        <v>0.85</v>
      </c>
      <c r="BE30">
        <f t="shared" si="3"/>
        <v>0.15</v>
      </c>
      <c r="BF30">
        <v>0.85</v>
      </c>
      <c r="BG30">
        <v>0.15</v>
      </c>
      <c r="BH30">
        <v>1</v>
      </c>
      <c r="BI30" t="s">
        <v>34</v>
      </c>
      <c r="BJ30" t="s">
        <v>35</v>
      </c>
      <c r="BK30" t="s">
        <v>34</v>
      </c>
      <c r="BL30" t="s">
        <v>29</v>
      </c>
      <c r="BM30">
        <v>2731.0467042565315</v>
      </c>
      <c r="BN30">
        <v>0.42500000000000099</v>
      </c>
      <c r="BO30">
        <v>7.4999999999999067E-2</v>
      </c>
      <c r="BP30">
        <v>0.5</v>
      </c>
      <c r="BQ30">
        <v>0.4898409891116276</v>
      </c>
      <c r="BR30">
        <v>1.015901088837245E-2</v>
      </c>
      <c r="BS30">
        <v>0.5</v>
      </c>
    </row>
    <row r="31" spans="5:71" x14ac:dyDescent="0.35">
      <c r="AM31">
        <v>0.4</v>
      </c>
      <c r="AN31">
        <f t="shared" si="7"/>
        <v>0.216</v>
      </c>
      <c r="AO31">
        <f t="shared" si="8"/>
        <v>0.43632000000000004</v>
      </c>
      <c r="AP31">
        <f t="shared" si="9"/>
        <v>0.29664000000000001</v>
      </c>
      <c r="AQ31">
        <f t="shared" si="10"/>
        <v>6.4000000000000015E-2</v>
      </c>
      <c r="AR31" cm="1">
        <f t="array" ref="AR31">SUM(_xlfn.ANCHORARRAY($AN$26)*$AN31:$AQ31)</f>
        <v>0.24111999999999989</v>
      </c>
      <c r="AS31" cm="1">
        <f t="array" ref="AS31">SUM(_xlfn.ANCHORARRAY($AN$27)*$AN31:$AQ31)</f>
        <v>2648.93115578383</v>
      </c>
      <c r="AU31" s="3">
        <v>0.15937499999999999</v>
      </c>
      <c r="AV31" s="10">
        <v>2724.6759544868701</v>
      </c>
      <c r="AW31" s="10">
        <v>2725.4954805685002</v>
      </c>
      <c r="AX31" s="10">
        <f t="shared" si="2"/>
        <v>2723.2552762789123</v>
      </c>
      <c r="AY31" s="10">
        <f t="shared" si="4"/>
        <v>1.4206782079577351</v>
      </c>
      <c r="AZ31" s="10">
        <f t="shared" si="5"/>
        <v>2.2402042895878367</v>
      </c>
      <c r="BD31">
        <f t="shared" si="6"/>
        <v>0.84062499999999996</v>
      </c>
      <c r="BE31">
        <f t="shared" si="3"/>
        <v>0.15937499999999999</v>
      </c>
      <c r="BF31">
        <v>0.84062499999999996</v>
      </c>
      <c r="BG31">
        <v>0.15937499999999999</v>
      </c>
      <c r="BH31">
        <v>1</v>
      </c>
      <c r="BI31" t="s">
        <v>34</v>
      </c>
      <c r="BJ31" t="s">
        <v>35</v>
      </c>
      <c r="BK31" t="s">
        <v>34</v>
      </c>
      <c r="BL31" t="s">
        <v>29</v>
      </c>
      <c r="BM31">
        <v>2723.2552762789123</v>
      </c>
      <c r="BN31">
        <v>0.42031249999999826</v>
      </c>
      <c r="BO31">
        <v>7.9687500000001757E-2</v>
      </c>
      <c r="BP31">
        <v>0.5</v>
      </c>
      <c r="BQ31">
        <v>0.48923217415399817</v>
      </c>
      <c r="BR31">
        <v>1.0767825846001895E-2</v>
      </c>
      <c r="BS31">
        <v>0.5</v>
      </c>
    </row>
    <row r="32" spans="5:71" x14ac:dyDescent="0.35">
      <c r="AM32">
        <v>0.6</v>
      </c>
      <c r="AN32">
        <f t="shared" si="7"/>
        <v>6.4000000000000015E-2</v>
      </c>
      <c r="AO32">
        <f t="shared" si="8"/>
        <v>0.29088000000000003</v>
      </c>
      <c r="AP32">
        <f t="shared" si="9"/>
        <v>0.44496000000000008</v>
      </c>
      <c r="AQ32">
        <f t="shared" si="10"/>
        <v>0.216</v>
      </c>
      <c r="AR32" cm="1">
        <f t="array" ref="AR32">SUM(_xlfn.ANCHORARRAY($AN$26)*$AN32:$AQ32)</f>
        <v>0.35495999999999955</v>
      </c>
      <c r="AS32" cm="1">
        <f t="array" ref="AS32">SUM(_xlfn.ANCHORARRAY($AN$27)*$AN32:$AQ32)</f>
        <v>2510.0238996752669</v>
      </c>
      <c r="AU32" s="3">
        <v>0.16875000000000001</v>
      </c>
      <c r="AV32" s="10">
        <v>2716.20001903099</v>
      </c>
      <c r="AW32" s="10">
        <v>2717.0401494306202</v>
      </c>
      <c r="AX32" s="10">
        <f t="shared" si="2"/>
        <v>2715.3440142441304</v>
      </c>
      <c r="AY32" s="10">
        <f t="shared" si="4"/>
        <v>0.8560047868595575</v>
      </c>
      <c r="AZ32" s="10">
        <f t="shared" si="5"/>
        <v>1.6961351864897551</v>
      </c>
      <c r="BD32">
        <f t="shared" si="6"/>
        <v>0.83125000000000004</v>
      </c>
      <c r="BE32">
        <f t="shared" si="3"/>
        <v>0.16875000000000001</v>
      </c>
      <c r="BF32">
        <v>0.83125000000000004</v>
      </c>
      <c r="BG32">
        <v>0.16875000000000001</v>
      </c>
      <c r="BH32">
        <v>1</v>
      </c>
      <c r="BI32" t="s">
        <v>34</v>
      </c>
      <c r="BJ32" t="s">
        <v>35</v>
      </c>
      <c r="BK32" t="s">
        <v>34</v>
      </c>
      <c r="BL32" t="s">
        <v>29</v>
      </c>
      <c r="BM32">
        <v>2715.3440142441304</v>
      </c>
      <c r="BN32">
        <v>0.41562499999999986</v>
      </c>
      <c r="BO32">
        <v>8.4375000000000214E-2</v>
      </c>
      <c r="BP32">
        <v>0.5</v>
      </c>
      <c r="BQ32">
        <v>0.48862256856202968</v>
      </c>
      <c r="BR32">
        <v>1.1377431437970303E-2</v>
      </c>
      <c r="BS32">
        <v>0.5</v>
      </c>
    </row>
    <row r="33" spans="39:71" x14ac:dyDescent="0.35">
      <c r="AM33">
        <v>0.8</v>
      </c>
      <c r="AN33">
        <f t="shared" si="7"/>
        <v>7.999999999999995E-3</v>
      </c>
      <c r="AO33">
        <f t="shared" si="8"/>
        <v>9.6959999999999963E-2</v>
      </c>
      <c r="AP33">
        <f t="shared" si="9"/>
        <v>0.39552000000000004</v>
      </c>
      <c r="AQ33">
        <f t="shared" si="10"/>
        <v>0.51200000000000012</v>
      </c>
      <c r="AR33" cm="1">
        <f t="array" ref="AR33">SUM(_xlfn.ANCHORARRAY($AN$26)*$AN33:$AQ33)</f>
        <v>0.45919999999999928</v>
      </c>
      <c r="AS33" cm="1">
        <f t="array" ref="AS33">SUM(_xlfn.ANCHORARRAY($AN$27)*$AN33:$AQ33)</f>
        <v>2334.2514138807956</v>
      </c>
      <c r="AU33" s="3">
        <v>0.17812500000000001</v>
      </c>
      <c r="AV33" s="10">
        <v>2707.7128018059102</v>
      </c>
      <c r="AW33" s="10">
        <v>2708.46112888681</v>
      </c>
      <c r="AX33" s="10">
        <f t="shared" si="2"/>
        <v>2707.3041870930124</v>
      </c>
      <c r="AY33" s="10">
        <f t="shared" si="4"/>
        <v>0.40861471289781548</v>
      </c>
      <c r="AZ33" s="10">
        <f t="shared" si="5"/>
        <v>1.1569417937976141</v>
      </c>
      <c r="BD33">
        <f t="shared" si="6"/>
        <v>0.82187500000000002</v>
      </c>
      <c r="BE33">
        <f t="shared" si="3"/>
        <v>0.17812500000000001</v>
      </c>
      <c r="BF33">
        <v>0.82187500000000002</v>
      </c>
      <c r="BG33">
        <v>0.17812500000000001</v>
      </c>
      <c r="BH33">
        <v>1</v>
      </c>
      <c r="BI33" t="s">
        <v>34</v>
      </c>
      <c r="BJ33" t="s">
        <v>35</v>
      </c>
      <c r="BK33" t="s">
        <v>34</v>
      </c>
      <c r="BL33" t="s">
        <v>29</v>
      </c>
      <c r="BM33">
        <v>2707.3041870930124</v>
      </c>
      <c r="BN33">
        <v>0.41093750000000201</v>
      </c>
      <c r="BO33">
        <v>8.906249999999806E-2</v>
      </c>
      <c r="BP33">
        <v>0.5</v>
      </c>
      <c r="BQ33">
        <v>0.48801149239138425</v>
      </c>
      <c r="BR33">
        <v>1.1988507608615763E-2</v>
      </c>
      <c r="BS33">
        <v>0.5</v>
      </c>
    </row>
    <row r="34" spans="39:71" x14ac:dyDescent="0.35">
      <c r="AM34">
        <v>1</v>
      </c>
      <c r="AN34">
        <f t="shared" si="7"/>
        <v>0</v>
      </c>
      <c r="AO34">
        <f t="shared" si="8"/>
        <v>0</v>
      </c>
      <c r="AP34">
        <f t="shared" si="9"/>
        <v>0</v>
      </c>
      <c r="AQ34">
        <f t="shared" si="10"/>
        <v>1</v>
      </c>
      <c r="AR34" cm="1">
        <f t="array" ref="AR34">SUM(_xlfn.ANCHORARRAY($AN$26)*$AN34:$AQ34)</f>
        <v>0.54999999999999916</v>
      </c>
      <c r="AS34" cm="1">
        <f t="array" ref="AS34">SUM(_xlfn.ANCHORARRAY($AN$27)*$AN34:$AQ34)</f>
        <v>2114.3606806376374</v>
      </c>
      <c r="AU34" s="3">
        <v>0.1875</v>
      </c>
      <c r="AV34" s="10">
        <v>2699.23688144582</v>
      </c>
      <c r="AW34" s="10">
        <v>2699.7637332619402</v>
      </c>
      <c r="AX34" s="10">
        <f t="shared" si="2"/>
        <v>2699.1266273881179</v>
      </c>
      <c r="AY34" s="10">
        <f t="shared" si="4"/>
        <v>0.11025405770215002</v>
      </c>
      <c r="AZ34" s="10">
        <f t="shared" si="5"/>
        <v>0.63710587382229278</v>
      </c>
      <c r="BD34">
        <f t="shared" si="6"/>
        <v>0.8125</v>
      </c>
      <c r="BE34">
        <f t="shared" si="3"/>
        <v>0.1875</v>
      </c>
      <c r="BF34">
        <v>0.8125</v>
      </c>
      <c r="BG34">
        <v>0.1875</v>
      </c>
      <c r="BH34">
        <v>1</v>
      </c>
      <c r="BI34" t="s">
        <v>34</v>
      </c>
      <c r="BJ34" t="s">
        <v>35</v>
      </c>
      <c r="BK34" t="s">
        <v>34</v>
      </c>
      <c r="BL34" t="s">
        <v>29</v>
      </c>
      <c r="BM34">
        <v>2699.1266273881179</v>
      </c>
      <c r="BN34">
        <v>0.4062499999999985</v>
      </c>
      <c r="BO34">
        <v>9.3750000000001485E-2</v>
      </c>
      <c r="BP34">
        <v>0.5</v>
      </c>
      <c r="BQ34">
        <v>0.4873982505910206</v>
      </c>
      <c r="BR34">
        <v>1.2601749408979344E-2</v>
      </c>
      <c r="BS34">
        <v>0.5</v>
      </c>
    </row>
    <row r="35" spans="39:71" x14ac:dyDescent="0.35">
      <c r="AN35" t="s">
        <v>61</v>
      </c>
      <c r="AU35" s="3">
        <v>0.19687499999999999</v>
      </c>
      <c r="AV35" s="10">
        <v>2690.7948365849302</v>
      </c>
      <c r="AW35" s="10">
        <v>2690.9532768808799</v>
      </c>
      <c r="AX35" s="10">
        <f t="shared" si="2"/>
        <v>2690.8017062727199</v>
      </c>
      <c r="AY35" s="10">
        <f t="shared" si="4"/>
        <v>-6.8696877897309605E-3</v>
      </c>
      <c r="AZ35" s="10">
        <f t="shared" si="5"/>
        <v>0.15157060816000012</v>
      </c>
      <c r="BD35">
        <f t="shared" si="6"/>
        <v>0.80312499999999998</v>
      </c>
      <c r="BE35">
        <f t="shared" si="3"/>
        <v>0.19687499999999999</v>
      </c>
      <c r="BF35">
        <v>0.80312499999999998</v>
      </c>
      <c r="BG35">
        <v>0.19687499999999999</v>
      </c>
      <c r="BH35">
        <v>1</v>
      </c>
      <c r="BI35" t="s">
        <v>34</v>
      </c>
      <c r="BJ35" t="s">
        <v>35</v>
      </c>
      <c r="BK35" t="s">
        <v>34</v>
      </c>
      <c r="BL35" t="s">
        <v>29</v>
      </c>
      <c r="BM35">
        <v>2690.8017062727199</v>
      </c>
      <c r="BN35">
        <v>0.40156249999999988</v>
      </c>
      <c r="BO35">
        <v>9.8437500000000122E-2</v>
      </c>
      <c r="BP35">
        <v>0.5</v>
      </c>
      <c r="BQ35">
        <v>0.48678213066353548</v>
      </c>
      <c r="BR35">
        <v>1.3217869336464563E-2</v>
      </c>
      <c r="BS35">
        <v>0.5</v>
      </c>
    </row>
    <row r="36" spans="39:71" x14ac:dyDescent="0.35">
      <c r="AN36" t="s">
        <v>60</v>
      </c>
      <c r="AO36" t="s">
        <v>60</v>
      </c>
      <c r="AP36" t="s">
        <v>59</v>
      </c>
      <c r="AQ36" t="s">
        <v>59</v>
      </c>
      <c r="AU36" s="3">
        <v>0.20624999999999999</v>
      </c>
      <c r="AV36" s="10">
        <v>2682.3331182250299</v>
      </c>
      <c r="AW36" s="10">
        <v>2682.03467226465</v>
      </c>
      <c r="AX36" s="10">
        <f t="shared" si="2"/>
        <v>2682.3193069456411</v>
      </c>
      <c r="AY36" s="10">
        <f t="shared" si="4"/>
        <v>1.3811279388846742E-2</v>
      </c>
      <c r="AZ36" s="10">
        <f t="shared" si="5"/>
        <v>-0.28463468099107558</v>
      </c>
      <c r="BD36">
        <f t="shared" si="6"/>
        <v>0.79374999999999996</v>
      </c>
      <c r="BE36">
        <f t="shared" si="3"/>
        <v>0.20624999999999999</v>
      </c>
      <c r="BF36">
        <v>0.79374999999999996</v>
      </c>
      <c r="BG36">
        <v>0.20624999999999999</v>
      </c>
      <c r="BH36">
        <v>1</v>
      </c>
      <c r="BI36" t="s">
        <v>34</v>
      </c>
      <c r="BJ36" t="s">
        <v>35</v>
      </c>
      <c r="BK36" t="s">
        <v>34</v>
      </c>
      <c r="BL36" t="s">
        <v>29</v>
      </c>
      <c r="BM36">
        <v>2682.3193069456411</v>
      </c>
      <c r="BN36">
        <v>0.39687500000000003</v>
      </c>
      <c r="BO36">
        <v>0.10312499999999997</v>
      </c>
      <c r="BP36">
        <v>0.5</v>
      </c>
      <c r="BQ36">
        <v>0.48616240013837203</v>
      </c>
      <c r="BR36">
        <v>1.3837599861627952E-2</v>
      </c>
      <c r="BS36">
        <v>0.5</v>
      </c>
    </row>
    <row r="37" spans="39:71" x14ac:dyDescent="0.35">
      <c r="AN37" t="s">
        <v>55</v>
      </c>
      <c r="AO37" t="s">
        <v>56</v>
      </c>
      <c r="AP37" t="s">
        <v>57</v>
      </c>
      <c r="AQ37" t="s">
        <v>58</v>
      </c>
      <c r="AU37" s="3">
        <v>0.21562500000000001</v>
      </c>
      <c r="AV37" s="10">
        <v>2673.6169104004798</v>
      </c>
      <c r="AW37" s="10">
        <v>2673.0018905837601</v>
      </c>
      <c r="AX37" s="10">
        <f t="shared" si="2"/>
        <v>2673.6687966211803</v>
      </c>
      <c r="AY37" s="10">
        <f t="shared" si="4"/>
        <v>-5.1886220700453123E-2</v>
      </c>
      <c r="AZ37" s="10">
        <f t="shared" si="5"/>
        <v>-0.66690603742017629</v>
      </c>
      <c r="BD37">
        <f t="shared" si="6"/>
        <v>0.78437500000000004</v>
      </c>
      <c r="BE37">
        <f t="shared" si="3"/>
        <v>0.21562500000000001</v>
      </c>
      <c r="BF37">
        <v>0.78437500000000004</v>
      </c>
      <c r="BG37">
        <v>0.21562500000000001</v>
      </c>
      <c r="BH37">
        <v>1</v>
      </c>
      <c r="BI37" t="s">
        <v>34</v>
      </c>
      <c r="BJ37" t="s">
        <v>35</v>
      </c>
      <c r="BK37" t="s">
        <v>34</v>
      </c>
      <c r="BL37" t="s">
        <v>29</v>
      </c>
      <c r="BM37">
        <v>2673.6687966211803</v>
      </c>
      <c r="BN37">
        <v>0.39218749999999869</v>
      </c>
      <c r="BO37">
        <v>0.10781250000000137</v>
      </c>
      <c r="BP37">
        <v>0.5</v>
      </c>
      <c r="BQ37">
        <v>0.48553830383316715</v>
      </c>
      <c r="BR37">
        <v>1.4461696166832858E-2</v>
      </c>
      <c r="BS37">
        <v>0.5</v>
      </c>
    </row>
    <row r="38" spans="39:71" x14ac:dyDescent="0.35">
      <c r="AU38" s="3">
        <v>0.22500000000000001</v>
      </c>
      <c r="AV38" s="10">
        <v>2664.6286026731</v>
      </c>
      <c r="AW38" s="10">
        <v>2663.8388666536398</v>
      </c>
      <c r="AX38" s="10">
        <f t="shared" si="2"/>
        <v>2664.8389969623113</v>
      </c>
      <c r="AY38" s="10">
        <f t="shared" si="4"/>
        <v>-0.21039428921130821</v>
      </c>
      <c r="AZ38" s="10">
        <f t="shared" si="5"/>
        <v>-1.000130308671487</v>
      </c>
      <c r="BD38">
        <f t="shared" si="6"/>
        <v>0.77500000000000002</v>
      </c>
      <c r="BE38">
        <f t="shared" si="3"/>
        <v>0.22500000000000001</v>
      </c>
      <c r="BF38">
        <v>0.77500000000000002</v>
      </c>
      <c r="BG38">
        <v>0.22500000000000001</v>
      </c>
      <c r="BH38">
        <v>1</v>
      </c>
      <c r="BI38" t="s">
        <v>34</v>
      </c>
      <c r="BJ38" t="s">
        <v>35</v>
      </c>
      <c r="BK38" t="s">
        <v>34</v>
      </c>
      <c r="BL38" t="s">
        <v>29</v>
      </c>
      <c r="BM38">
        <v>2664.8389969623113</v>
      </c>
      <c r="BN38">
        <v>0.38749999999999984</v>
      </c>
      <c r="BO38">
        <v>0.11250000000000024</v>
      </c>
      <c r="BP38">
        <v>0.5</v>
      </c>
      <c r="BQ38">
        <v>0.48490906087523783</v>
      </c>
      <c r="BR38">
        <v>1.5090939124762184E-2</v>
      </c>
      <c r="BS38">
        <v>0.5</v>
      </c>
    </row>
    <row r="39" spans="39:71" x14ac:dyDescent="0.35">
      <c r="AN39">
        <f>AN26</f>
        <v>0</v>
      </c>
      <c r="AO39">
        <f>AQ26</f>
        <v>0.54999999999999916</v>
      </c>
      <c r="AP39">
        <v>0</v>
      </c>
      <c r="AQ39">
        <v>0</v>
      </c>
      <c r="AU39" s="3">
        <v>0.234375</v>
      </c>
      <c r="AV39" s="10">
        <v>2655.3692173210202</v>
      </c>
      <c r="AW39" s="10">
        <v>2654.5292342489502</v>
      </c>
      <c r="AX39" s="10">
        <f t="shared" si="2"/>
        <v>2655.8181529982485</v>
      </c>
      <c r="AY39" s="10">
        <f t="shared" si="4"/>
        <v>-0.44893567722829175</v>
      </c>
      <c r="AZ39" s="10">
        <f t="shared" si="5"/>
        <v>-1.2889187492983183</v>
      </c>
      <c r="BD39">
        <f t="shared" si="6"/>
        <v>0.765625</v>
      </c>
      <c r="BE39">
        <f t="shared" si="3"/>
        <v>0.234375</v>
      </c>
      <c r="BF39">
        <v>0.765625</v>
      </c>
      <c r="BG39">
        <v>0.234375</v>
      </c>
      <c r="BH39">
        <v>1</v>
      </c>
      <c r="BI39" t="s">
        <v>34</v>
      </c>
      <c r="BJ39" t="s">
        <v>35</v>
      </c>
      <c r="BK39" t="s">
        <v>34</v>
      </c>
      <c r="BL39" t="s">
        <v>29</v>
      </c>
      <c r="BM39">
        <v>2655.8181529982485</v>
      </c>
      <c r="BN39">
        <v>0.38281249999999961</v>
      </c>
      <c r="BO39">
        <v>0.11718750000000043</v>
      </c>
      <c r="BP39">
        <v>0.5</v>
      </c>
      <c r="BQ39">
        <v>0.48427386145154033</v>
      </c>
      <c r="BR39">
        <v>1.5726138548459629E-2</v>
      </c>
      <c r="BS39">
        <v>0.5</v>
      </c>
    </row>
    <row r="40" spans="39:71" x14ac:dyDescent="0.35">
      <c r="AN40">
        <f>AN27</f>
        <v>2845.1620499943451</v>
      </c>
      <c r="AO40">
        <f>AQ27</f>
        <v>2114.3606806376374</v>
      </c>
      <c r="AP40">
        <v>600</v>
      </c>
      <c r="AQ40">
        <v>-400</v>
      </c>
      <c r="AU40" s="3">
        <v>0.24374999999999999</v>
      </c>
      <c r="AV40" s="10">
        <v>2645.8397766223902</v>
      </c>
      <c r="AW40" s="10">
        <v>2645.05662714441</v>
      </c>
      <c r="AX40" s="10">
        <f t="shared" si="2"/>
        <v>2646.5939005702326</v>
      </c>
      <c r="AY40" s="10">
        <f t="shared" si="4"/>
        <v>-0.75412394784234493</v>
      </c>
      <c r="AZ40" s="10">
        <f t="shared" si="5"/>
        <v>-1.5372734258226046</v>
      </c>
      <c r="BD40">
        <f t="shared" si="6"/>
        <v>0.75624999999999998</v>
      </c>
      <c r="BE40">
        <f t="shared" si="3"/>
        <v>0.24374999999999999</v>
      </c>
      <c r="BF40">
        <v>0.75624999999999998</v>
      </c>
      <c r="BG40">
        <v>0.24374999999999999</v>
      </c>
      <c r="BH40">
        <v>1</v>
      </c>
      <c r="BI40" t="s">
        <v>34</v>
      </c>
      <c r="BJ40" t="s">
        <v>35</v>
      </c>
      <c r="BK40" t="s">
        <v>34</v>
      </c>
      <c r="BL40" t="s">
        <v>29</v>
      </c>
      <c r="BM40">
        <v>2646.5939005702326</v>
      </c>
      <c r="BN40">
        <v>0.37812500000000032</v>
      </c>
      <c r="BO40">
        <v>0.12187499999999978</v>
      </c>
      <c r="BP40">
        <v>0.5</v>
      </c>
      <c r="BQ40">
        <v>0.4836318632511612</v>
      </c>
      <c r="BR40">
        <v>1.6368136748838812E-2</v>
      </c>
      <c r="BS40">
        <v>0.5</v>
      </c>
    </row>
    <row r="41" spans="39:71" x14ac:dyDescent="0.35">
      <c r="AM41" t="s">
        <v>50</v>
      </c>
      <c r="AN41" t="s">
        <v>51</v>
      </c>
      <c r="AO41" t="s">
        <v>52</v>
      </c>
      <c r="AP41" t="s">
        <v>53</v>
      </c>
      <c r="AQ41" t="s">
        <v>54</v>
      </c>
      <c r="AU41" s="3">
        <v>0.25312499999999999</v>
      </c>
      <c r="AV41" s="10">
        <v>2636.0413028553698</v>
      </c>
      <c r="AW41" s="10">
        <v>2635.4046791146998</v>
      </c>
      <c r="AX41" s="10">
        <f t="shared" si="2"/>
        <v>2637.1532323916877</v>
      </c>
      <c r="AY41" s="10">
        <f t="shared" si="4"/>
        <v>-1.1119295363178026</v>
      </c>
      <c r="AZ41" s="10">
        <f t="shared" si="5"/>
        <v>-1.7485532769878773</v>
      </c>
      <c r="BD41">
        <f t="shared" si="6"/>
        <v>0.74687499999999996</v>
      </c>
      <c r="BE41">
        <f t="shared" si="3"/>
        <v>0.25312499999999999</v>
      </c>
      <c r="BF41">
        <v>0.74687499999999996</v>
      </c>
      <c r="BG41">
        <v>0.25312499999999999</v>
      </c>
      <c r="BH41">
        <v>1</v>
      </c>
      <c r="BI41" t="s">
        <v>34</v>
      </c>
      <c r="BJ41" t="s">
        <v>35</v>
      </c>
      <c r="BK41" t="s">
        <v>34</v>
      </c>
      <c r="BL41" t="s">
        <v>29</v>
      </c>
      <c r="BM41">
        <v>2637.1532323916877</v>
      </c>
      <c r="BN41">
        <v>0.37343750000000009</v>
      </c>
      <c r="BO41">
        <v>0.12656249999999994</v>
      </c>
      <c r="BP41">
        <v>0.5</v>
      </c>
      <c r="BQ41">
        <v>0.48298218755949007</v>
      </c>
      <c r="BR41">
        <v>1.7017812440509966E-2</v>
      </c>
      <c r="BS41">
        <v>0.5</v>
      </c>
    </row>
    <row r="42" spans="39:71" x14ac:dyDescent="0.35">
      <c r="AM42">
        <v>0</v>
      </c>
      <c r="AN42">
        <f>2*AM42^3-3*AM42^2+1</f>
        <v>1</v>
      </c>
      <c r="AO42">
        <f>-2*AM42^3+3*AM42^2</f>
        <v>0</v>
      </c>
      <c r="AP42">
        <f>AM42^3-2*AM42^2+AM42</f>
        <v>0</v>
      </c>
      <c r="AQ42">
        <f>AM42^3-AM42^2</f>
        <v>0</v>
      </c>
      <c r="AR42" cm="1">
        <f t="array" ref="AR42">SUM(AN$39:AQ$39*AN42:AQ42)</f>
        <v>0</v>
      </c>
      <c r="AS42" cm="1">
        <f t="array" ref="AS42">SUM(AN$40:AQ$40*AN42:AQ42)</f>
        <v>2845.1620499943451</v>
      </c>
      <c r="AU42" s="3">
        <v>0.26250000000000001</v>
      </c>
      <c r="AV42" s="10">
        <v>2625.9748182980802</v>
      </c>
      <c r="AW42" s="10">
        <v>2625.5570239345202</v>
      </c>
      <c r="AX42" s="10">
        <f t="shared" si="2"/>
        <v>2627.4824628643205</v>
      </c>
      <c r="AY42" s="10">
        <f t="shared" si="4"/>
        <v>-1.5076445662402875</v>
      </c>
      <c r="AZ42" s="10">
        <f t="shared" si="5"/>
        <v>-1.9254389298002934</v>
      </c>
      <c r="BD42">
        <f t="shared" si="6"/>
        <v>0.73750000000000004</v>
      </c>
      <c r="BE42">
        <f t="shared" si="3"/>
        <v>0.26250000000000001</v>
      </c>
      <c r="BF42">
        <v>0.73750000000000004</v>
      </c>
      <c r="BG42">
        <v>0.26250000000000001</v>
      </c>
      <c r="BH42">
        <v>1</v>
      </c>
      <c r="BI42" t="s">
        <v>34</v>
      </c>
      <c r="BJ42" t="s">
        <v>35</v>
      </c>
      <c r="BK42" t="s">
        <v>34</v>
      </c>
      <c r="BL42" t="s">
        <v>29</v>
      </c>
      <c r="BM42">
        <v>2627.4824628643205</v>
      </c>
      <c r="BN42">
        <v>0.36875000000000069</v>
      </c>
      <c r="BO42">
        <v>0.13124999999999934</v>
      </c>
      <c r="BP42">
        <v>0.5</v>
      </c>
      <c r="BQ42">
        <v>0.48232391495757071</v>
      </c>
      <c r="BR42">
        <v>1.7676085042429304E-2</v>
      </c>
      <c r="BS42">
        <v>0.5</v>
      </c>
    </row>
    <row r="43" spans="39:71" x14ac:dyDescent="0.35">
      <c r="AM43">
        <v>0.4</v>
      </c>
      <c r="AN43">
        <f t="shared" ref="AN43:AN47" si="11">2*AM43^3-3*AM43^2+1</f>
        <v>0.64799999999999991</v>
      </c>
      <c r="AO43">
        <f t="shared" ref="AO43:AO47" si="12">-2*AM43^3+3*AM43^2</f>
        <v>0.35200000000000009</v>
      </c>
      <c r="AP43">
        <f t="shared" ref="AP43:AP47" si="13">AM43^3-2*AM43^2+AM43</f>
        <v>0.14399999999999996</v>
      </c>
      <c r="AQ43">
        <f t="shared" ref="AQ43:AQ47" si="14">AM43^3-AM43^2</f>
        <v>-9.6000000000000016E-2</v>
      </c>
      <c r="AR43" cm="1">
        <f t="array" ref="AR43">SUM(AN$39:AQ$39*AN43:AQ43)</f>
        <v>0.19359999999999974</v>
      </c>
      <c r="AS43" cm="1">
        <f t="array" ref="AS43">SUM(AN$40:AQ$40*AN43:AQ43)</f>
        <v>2712.7199679807841</v>
      </c>
      <c r="AU43" s="3">
        <v>0.27187499999999998</v>
      </c>
      <c r="AV43" s="10">
        <v>2615.6413452286802</v>
      </c>
      <c r="AW43" s="10">
        <v>2615.49729537856</v>
      </c>
      <c r="AX43" s="10">
        <f t="shared" si="2"/>
        <v>2617.5671918634825</v>
      </c>
      <c r="AY43" s="10">
        <f t="shared" si="4"/>
        <v>-1.9258466348023831</v>
      </c>
      <c r="AZ43" s="10">
        <f t="shared" si="5"/>
        <v>-2.0698964849225376</v>
      </c>
      <c r="BD43">
        <f t="shared" si="6"/>
        <v>0.72812500000000002</v>
      </c>
      <c r="BE43">
        <f t="shared" si="3"/>
        <v>0.27187499999999998</v>
      </c>
      <c r="BF43">
        <v>0.72812500000000002</v>
      </c>
      <c r="BG43">
        <v>0.27187499999999998</v>
      </c>
      <c r="BH43">
        <v>1</v>
      </c>
      <c r="BI43" t="s">
        <v>34</v>
      </c>
      <c r="BJ43" t="s">
        <v>35</v>
      </c>
      <c r="BK43" t="s">
        <v>34</v>
      </c>
      <c r="BL43" t="s">
        <v>29</v>
      </c>
      <c r="BM43">
        <v>2617.5671918634825</v>
      </c>
      <c r="BN43">
        <v>0.36406250000000179</v>
      </c>
      <c r="BO43">
        <v>0.13593749999999818</v>
      </c>
      <c r="BP43">
        <v>0.5</v>
      </c>
      <c r="BQ43">
        <v>0.48165608057358</v>
      </c>
      <c r="BR43">
        <v>1.834391942641999E-2</v>
      </c>
      <c r="BS43">
        <v>0.5</v>
      </c>
    </row>
    <row r="44" spans="39:71" x14ac:dyDescent="0.35">
      <c r="AM44">
        <v>0.65</v>
      </c>
      <c r="AN44">
        <f t="shared" si="11"/>
        <v>0.28175000000000006</v>
      </c>
      <c r="AO44">
        <f t="shared" si="12"/>
        <v>0.71824999999999994</v>
      </c>
      <c r="AP44">
        <f t="shared" si="13"/>
        <v>7.9624999999999946E-2</v>
      </c>
      <c r="AQ44">
        <f t="shared" si="14"/>
        <v>-0.14787499999999998</v>
      </c>
      <c r="AR44" cm="1">
        <f t="array" ref="AR44">SUM(AN$39:AQ$39*AN44:AQ44)</f>
        <v>0.39503749999999938</v>
      </c>
      <c r="AS44" cm="1">
        <f t="array" ref="AS44">SUM(AN$40:AQ$40*AN44:AQ44)</f>
        <v>2427.1889664538899</v>
      </c>
      <c r="AU44" s="3">
        <v>0.28125</v>
      </c>
      <c r="AV44" s="10">
        <v>2605.0419059253099</v>
      </c>
      <c r="AW44" s="10">
        <v>2605.2091272215098</v>
      </c>
      <c r="AX44" s="10">
        <f t="shared" si="2"/>
        <v>2607.39226779824</v>
      </c>
      <c r="AY44" s="10">
        <f t="shared" si="4"/>
        <v>-2.3503618729300797</v>
      </c>
      <c r="AZ44" s="10">
        <f t="shared" si="5"/>
        <v>-2.1831405767302385</v>
      </c>
      <c r="BD44">
        <f t="shared" si="6"/>
        <v>0.71875</v>
      </c>
      <c r="BE44">
        <f t="shared" si="3"/>
        <v>0.28125</v>
      </c>
      <c r="BF44">
        <v>0.71875</v>
      </c>
      <c r="BG44">
        <v>0.28125</v>
      </c>
      <c r="BH44">
        <v>1</v>
      </c>
      <c r="BI44" t="s">
        <v>34</v>
      </c>
      <c r="BJ44" t="s">
        <v>35</v>
      </c>
      <c r="BK44" t="s">
        <v>34</v>
      </c>
      <c r="BL44" t="s">
        <v>29</v>
      </c>
      <c r="BM44">
        <v>2607.39226779824</v>
      </c>
      <c r="BN44">
        <v>0.35937499999999978</v>
      </c>
      <c r="BO44">
        <v>0.14062500000000025</v>
      </c>
      <c r="BP44">
        <v>0.5</v>
      </c>
      <c r="BQ44">
        <v>0.48097766882587517</v>
      </c>
      <c r="BR44">
        <v>1.9022331174124829E-2</v>
      </c>
      <c r="BS44">
        <v>0.5</v>
      </c>
    </row>
    <row r="45" spans="39:71" x14ac:dyDescent="0.35">
      <c r="AM45">
        <v>1</v>
      </c>
      <c r="AN45">
        <f t="shared" si="11"/>
        <v>0</v>
      </c>
      <c r="AO45">
        <f t="shared" si="12"/>
        <v>1</v>
      </c>
      <c r="AP45">
        <f t="shared" si="13"/>
        <v>0</v>
      </c>
      <c r="AQ45">
        <f t="shared" si="14"/>
        <v>0</v>
      </c>
      <c r="AR45" cm="1">
        <f t="array" ref="AR45">SUM(AN$39:AQ$39*AN45:AQ45)</f>
        <v>0.54999999999999916</v>
      </c>
      <c r="AS45" cm="1">
        <f t="array" ref="AS45">SUM(AN$40:AQ$40*AN45:AQ45)</f>
        <v>2114.3606806376374</v>
      </c>
      <c r="AU45" s="3">
        <v>0.29062500000000002</v>
      </c>
      <c r="AV45" s="10">
        <v>2594.1775226661098</v>
      </c>
      <c r="AW45" s="10">
        <v>2594.6761532380701</v>
      </c>
      <c r="AX45" s="10">
        <f t="shared" si="2"/>
        <v>2596.9417503698783</v>
      </c>
      <c r="AY45" s="10">
        <f t="shared" si="4"/>
        <v>-2.7642277037684835</v>
      </c>
      <c r="AZ45" s="10">
        <f t="shared" si="5"/>
        <v>-2.2655971318081356</v>
      </c>
      <c r="BD45">
        <f t="shared" si="6"/>
        <v>0.70937499999999998</v>
      </c>
      <c r="BE45">
        <f t="shared" si="3"/>
        <v>0.29062500000000002</v>
      </c>
      <c r="BF45">
        <v>0.70937499999999998</v>
      </c>
      <c r="BG45">
        <v>0.29062500000000002</v>
      </c>
      <c r="BH45">
        <v>1</v>
      </c>
      <c r="BI45" t="s">
        <v>34</v>
      </c>
      <c r="BJ45" t="s">
        <v>35</v>
      </c>
      <c r="BK45" t="s">
        <v>34</v>
      </c>
      <c r="BL45" t="s">
        <v>29</v>
      </c>
      <c r="BM45">
        <v>2596.9417503698783</v>
      </c>
      <c r="BN45">
        <v>0.35468749999999916</v>
      </c>
      <c r="BO45">
        <v>0.14531250000000084</v>
      </c>
      <c r="BP45">
        <v>0.5</v>
      </c>
      <c r="BQ45">
        <v>0.48028760758829597</v>
      </c>
      <c r="BR45">
        <v>1.9712392411704024E-2</v>
      </c>
      <c r="BS45">
        <v>0.5</v>
      </c>
    </row>
    <row r="46" spans="39:71" x14ac:dyDescent="0.35">
      <c r="AM46">
        <v>1</v>
      </c>
      <c r="AN46">
        <f t="shared" si="11"/>
        <v>0</v>
      </c>
      <c r="AO46">
        <f t="shared" si="12"/>
        <v>1</v>
      </c>
      <c r="AP46">
        <f t="shared" si="13"/>
        <v>0</v>
      </c>
      <c r="AQ46">
        <f t="shared" si="14"/>
        <v>0</v>
      </c>
      <c r="AR46" cm="1">
        <f t="array" ref="AR46">SUM(AN$39:AQ$39*AN46:AQ46)</f>
        <v>0.54999999999999916</v>
      </c>
      <c r="AS46" cm="1">
        <f t="array" ref="AS46">SUM(AN$40:AQ$40*AN46:AQ46)</f>
        <v>2114.3606806376374</v>
      </c>
      <c r="AU46" s="3">
        <v>0.3</v>
      </c>
      <c r="AV46" s="10">
        <v>2583.0492177292299</v>
      </c>
      <c r="AW46" s="10">
        <v>2583.8820072029298</v>
      </c>
      <c r="AX46" s="10">
        <f t="shared" ref="AX46:AX78" si="15">BM46</f>
        <v>2586.1988736005283</v>
      </c>
      <c r="AY46" s="10">
        <f t="shared" si="4"/>
        <v>-3.1496558712983642</v>
      </c>
      <c r="AZ46" s="10">
        <f t="shared" si="5"/>
        <v>-2.31686639759846</v>
      </c>
      <c r="BD46">
        <f t="shared" si="6"/>
        <v>0.7</v>
      </c>
      <c r="BE46">
        <f t="shared" ref="BE46:BE78" si="16">AU46</f>
        <v>0.3</v>
      </c>
      <c r="BF46">
        <v>0.7</v>
      </c>
      <c r="BG46">
        <v>0.3</v>
      </c>
      <c r="BH46">
        <v>1</v>
      </c>
      <c r="BI46" t="s">
        <v>34</v>
      </c>
      <c r="BJ46" t="s">
        <v>35</v>
      </c>
      <c r="BK46" t="s">
        <v>34</v>
      </c>
      <c r="BL46" t="s">
        <v>29</v>
      </c>
      <c r="BM46">
        <v>2586.1988736005283</v>
      </c>
      <c r="BN46">
        <v>0.35000000000000048</v>
      </c>
      <c r="BO46">
        <v>0.14999999999999949</v>
      </c>
      <c r="BP46">
        <v>0.5</v>
      </c>
      <c r="BQ46">
        <v>0.47958476169835584</v>
      </c>
      <c r="BR46">
        <v>2.0415238301644219E-2</v>
      </c>
      <c r="BS46">
        <v>0.5</v>
      </c>
    </row>
    <row r="47" spans="39:71" x14ac:dyDescent="0.35">
      <c r="AM47">
        <v>1</v>
      </c>
      <c r="AN47">
        <f t="shared" si="11"/>
        <v>0</v>
      </c>
      <c r="AO47">
        <f t="shared" si="12"/>
        <v>1</v>
      </c>
      <c r="AP47">
        <f t="shared" si="13"/>
        <v>0</v>
      </c>
      <c r="AQ47">
        <f t="shared" si="14"/>
        <v>0</v>
      </c>
      <c r="AR47" cm="1">
        <f t="array" ref="AR47">SUM(AN$39:AQ$39*AN47:AQ47)</f>
        <v>0.54999999999999916</v>
      </c>
      <c r="AS47" cm="1">
        <f t="array" ref="AS47">SUM(AN$40:AQ$40*AN47:AQ47)</f>
        <v>2114.3606806376374</v>
      </c>
      <c r="AU47" s="3">
        <v>0.30937500000000001</v>
      </c>
      <c r="AV47" s="10">
        <v>2571.6580133928101</v>
      </c>
      <c r="AW47" s="10">
        <v>2572.8103228907898</v>
      </c>
      <c r="AX47" s="10">
        <f t="shared" si="15"/>
        <v>2575.1460098937991</v>
      </c>
      <c r="AY47" s="10">
        <f t="shared" si="4"/>
        <v>-3.4879965009890839</v>
      </c>
      <c r="AZ47" s="10">
        <f t="shared" si="5"/>
        <v>-2.3356870030092978</v>
      </c>
      <c r="BD47">
        <f t="shared" si="6"/>
        <v>0.69062500000000004</v>
      </c>
      <c r="BE47">
        <f t="shared" si="16"/>
        <v>0.30937500000000001</v>
      </c>
      <c r="BF47">
        <v>0.69062500000000004</v>
      </c>
      <c r="BG47">
        <v>0.30937500000000001</v>
      </c>
      <c r="BH47">
        <v>1</v>
      </c>
      <c r="BI47" t="s">
        <v>34</v>
      </c>
      <c r="BJ47" t="s">
        <v>35</v>
      </c>
      <c r="BK47" t="s">
        <v>34</v>
      </c>
      <c r="BL47" t="s">
        <v>29</v>
      </c>
      <c r="BM47">
        <v>2575.1460098937991</v>
      </c>
      <c r="BN47">
        <v>0.34531250000000135</v>
      </c>
      <c r="BO47">
        <v>0.15468749999999867</v>
      </c>
      <c r="BP47">
        <v>0.5</v>
      </c>
      <c r="BQ47">
        <v>0.47886792571724618</v>
      </c>
      <c r="BR47">
        <v>2.1132074282753804E-2</v>
      </c>
      <c r="BS47">
        <v>0.5</v>
      </c>
    </row>
    <row r="48" spans="39:71" x14ac:dyDescent="0.35">
      <c r="AU48" s="3">
        <v>0.31874999999999998</v>
      </c>
      <c r="AV48" s="10">
        <v>2560.0049319350101</v>
      </c>
      <c r="AW48" s="10">
        <v>2561.44473407634</v>
      </c>
      <c r="AX48" s="10">
        <f t="shared" si="15"/>
        <v>2563.7646361247498</v>
      </c>
      <c r="AY48" s="10">
        <f t="shared" si="4"/>
        <v>-3.7597041897397503</v>
      </c>
      <c r="AZ48" s="10">
        <f t="shared" si="5"/>
        <v>-2.3199020484098583</v>
      </c>
      <c r="BD48">
        <f t="shared" si="6"/>
        <v>0.68125000000000002</v>
      </c>
      <c r="BE48">
        <f t="shared" si="16"/>
        <v>0.31874999999999998</v>
      </c>
      <c r="BF48">
        <v>0.68125000000000002</v>
      </c>
      <c r="BG48">
        <v>0.31874999999999998</v>
      </c>
      <c r="BH48">
        <v>1</v>
      </c>
      <c r="BI48" t="s">
        <v>34</v>
      </c>
      <c r="BJ48" t="s">
        <v>35</v>
      </c>
      <c r="BK48" t="s">
        <v>34</v>
      </c>
      <c r="BL48" t="s">
        <v>29</v>
      </c>
      <c r="BM48">
        <v>2563.7646361247498</v>
      </c>
      <c r="BN48">
        <v>0.34062500000000062</v>
      </c>
      <c r="BO48">
        <v>0.15937499999999938</v>
      </c>
      <c r="BP48">
        <v>0.5</v>
      </c>
      <c r="BQ48">
        <v>0.47813581583704667</v>
      </c>
      <c r="BR48">
        <v>2.1864184162953378E-2</v>
      </c>
      <c r="BS48">
        <v>0.5</v>
      </c>
    </row>
    <row r="49" spans="47:71" x14ac:dyDescent="0.35">
      <c r="AU49" s="3">
        <v>0.328125</v>
      </c>
      <c r="AV49" s="10">
        <v>2548.0909956339501</v>
      </c>
      <c r="AW49" s="10">
        <v>2549.7688745342698</v>
      </c>
      <c r="AX49" s="10">
        <f t="shared" si="15"/>
        <v>2552.0353030518772</v>
      </c>
      <c r="AY49" s="10">
        <f t="shared" si="4"/>
        <v>-3.9443074179271207</v>
      </c>
      <c r="AZ49" s="10">
        <f t="shared" si="5"/>
        <v>-2.2664285176074372</v>
      </c>
      <c r="BD49">
        <f t="shared" si="6"/>
        <v>0.671875</v>
      </c>
      <c r="BE49">
        <f t="shared" si="16"/>
        <v>0.328125</v>
      </c>
      <c r="BF49">
        <v>0.671875</v>
      </c>
      <c r="BG49">
        <v>0.328125</v>
      </c>
      <c r="BH49">
        <v>1</v>
      </c>
      <c r="BI49" t="s">
        <v>34</v>
      </c>
      <c r="BJ49" t="s">
        <v>35</v>
      </c>
      <c r="BK49" t="s">
        <v>34</v>
      </c>
      <c r="BL49" t="s">
        <v>29</v>
      </c>
      <c r="BM49">
        <v>2552.0353030518772</v>
      </c>
      <c r="BN49">
        <v>0.33593750000000133</v>
      </c>
      <c r="BO49">
        <v>0.1640624999999987</v>
      </c>
      <c r="BP49">
        <v>0.5</v>
      </c>
      <c r="BQ49">
        <v>0.47738706081476734</v>
      </c>
      <c r="BR49">
        <v>2.2612939185232682E-2</v>
      </c>
      <c r="BS49">
        <v>0.5</v>
      </c>
    </row>
    <row r="50" spans="47:71" x14ac:dyDescent="0.35">
      <c r="AU50" s="3">
        <v>0.33750000000000002</v>
      </c>
      <c r="AV50" s="10">
        <v>2535.91722676779</v>
      </c>
      <c r="AW50" s="10">
        <v>2537.76637803927</v>
      </c>
      <c r="AX50" s="10">
        <f t="shared" si="15"/>
        <v>2539.9376097110439</v>
      </c>
      <c r="AY50" s="10">
        <f t="shared" si="4"/>
        <v>-4.0203829432539351</v>
      </c>
      <c r="AZ50" s="10">
        <f t="shared" si="5"/>
        <v>-2.1712316717739668</v>
      </c>
      <c r="BD50">
        <f t="shared" si="6"/>
        <v>0.66249999999999998</v>
      </c>
      <c r="BE50">
        <f t="shared" si="16"/>
        <v>0.33750000000000002</v>
      </c>
      <c r="BF50">
        <v>0.66249999999999998</v>
      </c>
      <c r="BG50">
        <v>0.33750000000000002</v>
      </c>
      <c r="BH50">
        <v>1</v>
      </c>
      <c r="BI50" t="s">
        <v>34</v>
      </c>
      <c r="BJ50" t="s">
        <v>35</v>
      </c>
      <c r="BK50" t="s">
        <v>34</v>
      </c>
      <c r="BL50" t="s">
        <v>29</v>
      </c>
      <c r="BM50">
        <v>2539.9376097110439</v>
      </c>
      <c r="BN50">
        <v>0.33125000000000215</v>
      </c>
      <c r="BO50">
        <v>0.16874999999999787</v>
      </c>
      <c r="BP50">
        <v>0.5</v>
      </c>
      <c r="BQ50">
        <v>0.47662019179450177</v>
      </c>
      <c r="BR50">
        <v>2.3379808205498225E-2</v>
      </c>
      <c r="BS50">
        <v>0.5</v>
      </c>
    </row>
    <row r="51" spans="47:71" x14ac:dyDescent="0.35">
      <c r="AU51" s="3">
        <v>0.34687499999999999</v>
      </c>
      <c r="AV51" s="10">
        <v>2523.4846476146699</v>
      </c>
      <c r="AW51" s="10">
        <v>2525.4208783660501</v>
      </c>
      <c r="AX51" s="10">
        <f t="shared" si="15"/>
        <v>2527.4501849015605</v>
      </c>
      <c r="AY51" s="10">
        <f t="shared" si="4"/>
        <v>-3.9655372868905943</v>
      </c>
      <c r="AZ51" s="10">
        <f t="shared" si="5"/>
        <v>-2.0293065355103863</v>
      </c>
      <c r="BD51">
        <f t="shared" si="6"/>
        <v>0.65312499999999996</v>
      </c>
      <c r="BE51">
        <f t="shared" si="16"/>
        <v>0.34687499999999999</v>
      </c>
      <c r="BF51">
        <v>0.65312499999999996</v>
      </c>
      <c r="BG51">
        <v>0.34687499999999999</v>
      </c>
      <c r="BH51">
        <v>1</v>
      </c>
      <c r="BI51" t="s">
        <v>34</v>
      </c>
      <c r="BJ51" t="s">
        <v>35</v>
      </c>
      <c r="BK51" t="s">
        <v>34</v>
      </c>
      <c r="BL51" t="s">
        <v>29</v>
      </c>
      <c r="BM51">
        <v>2527.4501849015605</v>
      </c>
      <c r="BN51">
        <v>0.32656249999999998</v>
      </c>
      <c r="BO51">
        <v>0.17343750000000008</v>
      </c>
      <c r="BP51">
        <v>0.5</v>
      </c>
      <c r="BQ51">
        <v>0.47583363085755115</v>
      </c>
      <c r="BR51">
        <v>2.4166369142448851E-2</v>
      </c>
      <c r="BS51">
        <v>0.5</v>
      </c>
    </row>
    <row r="52" spans="47:71" x14ac:dyDescent="0.35">
      <c r="AU52" s="3">
        <v>0.35625000000000001</v>
      </c>
      <c r="AV52" s="10">
        <v>2510.7942804527302</v>
      </c>
      <c r="AW52" s="10">
        <v>2512.71600928929</v>
      </c>
      <c r="AX52" s="10">
        <f t="shared" si="15"/>
        <v>2514.5506784289514</v>
      </c>
      <c r="AY52" s="10">
        <f t="shared" si="4"/>
        <v>-3.7563979762212512</v>
      </c>
      <c r="AZ52" s="10">
        <f t="shared" si="5"/>
        <v>-1.8346691396614005</v>
      </c>
      <c r="BD52">
        <f t="shared" si="6"/>
        <v>0.64375000000000004</v>
      </c>
      <c r="BE52">
        <f t="shared" si="16"/>
        <v>0.35625000000000001</v>
      </c>
      <c r="BF52">
        <v>0.64375000000000004</v>
      </c>
      <c r="BG52">
        <v>0.35625000000000001</v>
      </c>
      <c r="BH52">
        <v>1</v>
      </c>
      <c r="BI52" t="s">
        <v>34</v>
      </c>
      <c r="BJ52" t="s">
        <v>35</v>
      </c>
      <c r="BK52" t="s">
        <v>34</v>
      </c>
      <c r="BL52" t="s">
        <v>29</v>
      </c>
      <c r="BM52">
        <v>2514.5506784289514</v>
      </c>
      <c r="BN52">
        <v>0.32187499999999974</v>
      </c>
      <c r="BO52">
        <v>0.17812500000000023</v>
      </c>
      <c r="BP52">
        <v>0.5</v>
      </c>
      <c r="BQ52">
        <v>0.47502567811520696</v>
      </c>
      <c r="BR52">
        <v>2.4974321884793087E-2</v>
      </c>
      <c r="BS52">
        <v>0.5</v>
      </c>
    </row>
    <row r="53" spans="47:71" x14ac:dyDescent="0.35">
      <c r="AU53" s="3">
        <v>0.36562499999999998</v>
      </c>
      <c r="AV53" s="10">
        <v>2497.84714756012</v>
      </c>
      <c r="AW53" s="10">
        <v>2499.6354045836802</v>
      </c>
      <c r="AX53" s="10">
        <f t="shared" si="15"/>
        <v>2501.2157654368002</v>
      </c>
      <c r="AY53" s="10">
        <f t="shared" si="4"/>
        <v>-3.3686178766802186</v>
      </c>
      <c r="AZ53" s="10">
        <f t="shared" si="5"/>
        <v>-1.5803608531200553</v>
      </c>
      <c r="BD53">
        <f t="shared" si="6"/>
        <v>0.63437500000000002</v>
      </c>
      <c r="BE53">
        <f t="shared" si="16"/>
        <v>0.36562499999999998</v>
      </c>
      <c r="BF53">
        <v>0.63437500000000002</v>
      </c>
      <c r="BG53">
        <v>0.36562499999999998</v>
      </c>
      <c r="BH53">
        <v>1</v>
      </c>
      <c r="BI53" t="s">
        <v>34</v>
      </c>
      <c r="BJ53" t="s">
        <v>35</v>
      </c>
      <c r="BK53" t="s">
        <v>34</v>
      </c>
      <c r="BL53" t="s">
        <v>29</v>
      </c>
      <c r="BM53">
        <v>2501.2157654368002</v>
      </c>
      <c r="BN53">
        <v>0.31718749999999962</v>
      </c>
      <c r="BO53">
        <v>0.18281250000000043</v>
      </c>
      <c r="BP53">
        <v>0.5</v>
      </c>
      <c r="BQ53">
        <v>0.47419449712925349</v>
      </c>
      <c r="BR53">
        <v>2.5805502870746559E-2</v>
      </c>
      <c r="BS53">
        <v>0.5</v>
      </c>
    </row>
    <row r="54" spans="47:71" x14ac:dyDescent="0.35">
      <c r="AU54" s="3">
        <v>0.375</v>
      </c>
      <c r="AV54" s="10">
        <v>2484.6442712149801</v>
      </c>
      <c r="AW54" s="10">
        <v>2486.1626980239298</v>
      </c>
      <c r="AX54" s="10">
        <f t="shared" si="15"/>
        <v>2487.4211679652376</v>
      </c>
      <c r="AY54" s="10">
        <f t="shared" si="4"/>
        <v>-2.7768967502574924</v>
      </c>
      <c r="AZ54" s="10">
        <f t="shared" si="5"/>
        <v>-1.2584699413077942</v>
      </c>
      <c r="BD54">
        <f t="shared" si="6"/>
        <v>0.625</v>
      </c>
      <c r="BE54">
        <f t="shared" si="16"/>
        <v>0.375</v>
      </c>
      <c r="BF54">
        <v>0.625</v>
      </c>
      <c r="BG54">
        <v>0.375</v>
      </c>
      <c r="BH54">
        <v>1</v>
      </c>
      <c r="BI54" t="s">
        <v>34</v>
      </c>
      <c r="BJ54" t="s">
        <v>35</v>
      </c>
      <c r="BK54" t="s">
        <v>34</v>
      </c>
      <c r="BL54" t="s">
        <v>29</v>
      </c>
      <c r="BM54">
        <v>2487.4211679652376</v>
      </c>
      <c r="BN54">
        <v>0.31249999999999956</v>
      </c>
      <c r="BO54">
        <v>0.18750000000000047</v>
      </c>
      <c r="BP54">
        <v>0.5</v>
      </c>
      <c r="BQ54">
        <v>0.47333809840998892</v>
      </c>
      <c r="BR54">
        <v>2.6661901590011135E-2</v>
      </c>
      <c r="BS54">
        <v>0.5</v>
      </c>
    </row>
    <row r="55" spans="47:71" x14ac:dyDescent="0.35">
      <c r="AU55" s="3">
        <v>0.38437500000000002</v>
      </c>
      <c r="AV55" s="10">
        <v>2471.1866736954598</v>
      </c>
      <c r="AW55" s="10">
        <v>2472.28152338472</v>
      </c>
      <c r="AX55" s="10">
        <f t="shared" si="15"/>
        <v>2473.1416988229153</v>
      </c>
      <c r="AY55" s="10">
        <f t="shared" si="4"/>
        <v>-1.9550251274554284</v>
      </c>
      <c r="AZ55" s="10">
        <f t="shared" si="5"/>
        <v>-0.86017543819525599</v>
      </c>
      <c r="BD55">
        <f t="shared" si="6"/>
        <v>0.61562499999999998</v>
      </c>
      <c r="BE55">
        <f t="shared" si="16"/>
        <v>0.38437500000000002</v>
      </c>
      <c r="BF55">
        <v>0.61562499999999998</v>
      </c>
      <c r="BG55">
        <v>0.38437500000000002</v>
      </c>
      <c r="BH55">
        <v>1</v>
      </c>
      <c r="BI55" t="s">
        <v>34</v>
      </c>
      <c r="BJ55" t="s">
        <v>35</v>
      </c>
      <c r="BK55" t="s">
        <v>34</v>
      </c>
      <c r="BL55" t="s">
        <v>29</v>
      </c>
      <c r="BM55">
        <v>2473.1416988229153</v>
      </c>
      <c r="BN55">
        <v>0.3078124999999996</v>
      </c>
      <c r="BO55">
        <v>0.19218750000000046</v>
      </c>
      <c r="BP55">
        <v>0.5</v>
      </c>
      <c r="BQ55">
        <v>0.47245432069932419</v>
      </c>
      <c r="BR55">
        <v>2.7545679300675793E-2</v>
      </c>
      <c r="BS55">
        <v>0.5</v>
      </c>
    </row>
    <row r="56" spans="47:71" x14ac:dyDescent="0.35">
      <c r="AU56" s="3">
        <v>0.39374999999999999</v>
      </c>
      <c r="AV56" s="10">
        <v>2457.4753772796998</v>
      </c>
      <c r="AW56" s="10">
        <v>2457.97551444075</v>
      </c>
      <c r="AX56" s="10">
        <f t="shared" si="15"/>
        <v>2458.3513339648007</v>
      </c>
      <c r="AY56" s="10">
        <f t="shared" si="4"/>
        <v>-0.87595668510084579</v>
      </c>
      <c r="AZ56" s="10">
        <f t="shared" si="5"/>
        <v>-0.37581952405071206</v>
      </c>
      <c r="BD56">
        <f t="shared" si="6"/>
        <v>0.60624999999999996</v>
      </c>
      <c r="BE56">
        <f t="shared" si="16"/>
        <v>0.39374999999999999</v>
      </c>
      <c r="BF56">
        <v>0.60624999999999996</v>
      </c>
      <c r="BG56">
        <v>0.39374999999999999</v>
      </c>
      <c r="BH56">
        <v>1</v>
      </c>
      <c r="BI56" t="s">
        <v>34</v>
      </c>
      <c r="BJ56" t="s">
        <v>35</v>
      </c>
      <c r="BK56" t="s">
        <v>34</v>
      </c>
      <c r="BL56" t="s">
        <v>29</v>
      </c>
      <c r="BM56">
        <v>2458.3513339648007</v>
      </c>
      <c r="BN56">
        <v>0.3031250000000017</v>
      </c>
      <c r="BO56">
        <v>0.19687499999999827</v>
      </c>
      <c r="BP56">
        <v>0.5</v>
      </c>
      <c r="BQ56">
        <v>0.47154080969521256</v>
      </c>
      <c r="BR56">
        <v>2.8459190304787496E-2</v>
      </c>
      <c r="BS56">
        <v>0.5</v>
      </c>
    </row>
    <row r="57" spans="47:71" x14ac:dyDescent="0.35">
      <c r="AU57" s="3">
        <v>0.40312500000000001</v>
      </c>
      <c r="AV57" s="10">
        <v>2443.4518962003199</v>
      </c>
      <c r="AW57" s="10">
        <v>2443.1947550811001</v>
      </c>
      <c r="AX57" s="10">
        <f t="shared" si="15"/>
        <v>2443.0233208244786</v>
      </c>
      <c r="AY57" s="10">
        <f t="shared" si="4"/>
        <v>0.42857537584131933</v>
      </c>
      <c r="AZ57" s="10">
        <f t="shared" si="5"/>
        <v>0.17143425662152367</v>
      </c>
      <c r="BD57">
        <f t="shared" si="6"/>
        <v>0.59687500000000004</v>
      </c>
      <c r="BE57">
        <f t="shared" si="16"/>
        <v>0.40312500000000001</v>
      </c>
      <c r="BF57">
        <v>0.59687500000000004</v>
      </c>
      <c r="BG57">
        <v>0.40312500000000001</v>
      </c>
      <c r="BH57">
        <v>1</v>
      </c>
      <c r="BI57" t="s">
        <v>34</v>
      </c>
      <c r="BJ57" t="s">
        <v>35</v>
      </c>
      <c r="BK57" t="s">
        <v>34</v>
      </c>
      <c r="BL57" t="s">
        <v>29</v>
      </c>
      <c r="BM57">
        <v>2443.0233208244786</v>
      </c>
      <c r="BN57">
        <v>0.29843750000000036</v>
      </c>
      <c r="BO57">
        <v>0.20156249999999962</v>
      </c>
      <c r="BP57">
        <v>0.5</v>
      </c>
      <c r="BQ57">
        <v>0.47059499381035419</v>
      </c>
      <c r="BR57">
        <v>2.9405006189645814E-2</v>
      </c>
      <c r="BS57">
        <v>0.5</v>
      </c>
    </row>
    <row r="58" spans="47:71" x14ac:dyDescent="0.35">
      <c r="AU58" s="3">
        <v>0.41249999999999998</v>
      </c>
      <c r="AV58" s="10">
        <v>2428.3697683145101</v>
      </c>
      <c r="AW58" s="10">
        <v>2427.5087407209799</v>
      </c>
      <c r="AX58" s="10">
        <f t="shared" si="15"/>
        <v>2427.1303314326178</v>
      </c>
      <c r="AY58" s="10">
        <f t="shared" si="4"/>
        <v>1.2394368818922885</v>
      </c>
      <c r="AZ58" s="10">
        <f t="shared" si="5"/>
        <v>0.37840928836203602</v>
      </c>
      <c r="BD58">
        <f t="shared" si="6"/>
        <v>0.58750000000000002</v>
      </c>
      <c r="BE58">
        <f t="shared" si="16"/>
        <v>0.41249999999999998</v>
      </c>
      <c r="BF58">
        <v>0.58750000000000002</v>
      </c>
      <c r="BG58">
        <v>0.41249999999999998</v>
      </c>
      <c r="BH58">
        <v>1</v>
      </c>
      <c r="BI58" t="s">
        <v>34</v>
      </c>
      <c r="BJ58" t="s">
        <v>35</v>
      </c>
      <c r="BK58" t="s">
        <v>34</v>
      </c>
      <c r="BL58" t="s">
        <v>29</v>
      </c>
      <c r="BM58">
        <v>2427.1303314326178</v>
      </c>
      <c r="BN58">
        <v>0.29374999999999923</v>
      </c>
      <c r="BO58">
        <v>0.20625000000000074</v>
      </c>
      <c r="BP58">
        <v>0.5</v>
      </c>
      <c r="BQ58">
        <v>0.46961405647882537</v>
      </c>
      <c r="BR58">
        <v>3.0385943521174668E-2</v>
      </c>
      <c r="BS58">
        <v>0.5</v>
      </c>
    </row>
    <row r="59" spans="47:71" x14ac:dyDescent="0.35">
      <c r="AU59" s="3">
        <v>0.421875</v>
      </c>
      <c r="AV59" s="10">
        <v>2412.0736092523898</v>
      </c>
      <c r="AW59" s="10">
        <v>2410.8356873225098</v>
      </c>
      <c r="AX59" s="10">
        <f t="shared" si="15"/>
        <v>2410.6446706111783</v>
      </c>
      <c r="AY59" s="10">
        <f t="shared" si="4"/>
        <v>1.4289386412115164</v>
      </c>
      <c r="AZ59" s="10">
        <f t="shared" si="5"/>
        <v>0.19101671133148557</v>
      </c>
      <c r="BD59">
        <f t="shared" si="6"/>
        <v>0.578125</v>
      </c>
      <c r="BE59">
        <f t="shared" si="16"/>
        <v>0.421875</v>
      </c>
      <c r="BF59">
        <v>0.578125</v>
      </c>
      <c r="BG59">
        <v>0.421875</v>
      </c>
      <c r="BH59">
        <v>1</v>
      </c>
      <c r="BI59" t="s">
        <v>34</v>
      </c>
      <c r="BJ59" t="s">
        <v>35</v>
      </c>
      <c r="BK59" t="s">
        <v>34</v>
      </c>
      <c r="BL59" t="s">
        <v>29</v>
      </c>
      <c r="BM59">
        <v>2410.6446706111783</v>
      </c>
      <c r="BN59">
        <v>0.28906249999999939</v>
      </c>
      <c r="BO59">
        <v>0.21093750000000067</v>
      </c>
      <c r="BP59">
        <v>0.5</v>
      </c>
      <c r="BQ59">
        <v>0.46859490442228291</v>
      </c>
      <c r="BR59">
        <v>3.1405095577717035E-2</v>
      </c>
      <c r="BS59">
        <v>0.5</v>
      </c>
    </row>
    <row r="60" spans="47:71" x14ac:dyDescent="0.35">
      <c r="AU60" s="3">
        <v>0.43125000000000002</v>
      </c>
      <c r="AV60" s="10">
        <v>2394.6525968688902</v>
      </c>
      <c r="AW60" s="10">
        <v>2393.2335129286498</v>
      </c>
      <c r="AX60" s="10">
        <f t="shared" si="15"/>
        <v>2393.5385509631656</v>
      </c>
      <c r="AY60" s="10">
        <f t="shared" si="4"/>
        <v>1.1140459057246517</v>
      </c>
      <c r="AZ60" s="10">
        <f t="shared" si="5"/>
        <v>-0.3050380345157464</v>
      </c>
      <c r="BD60">
        <f t="shared" si="6"/>
        <v>0.56874999999999998</v>
      </c>
      <c r="BE60">
        <f t="shared" si="16"/>
        <v>0.43125000000000002</v>
      </c>
      <c r="BF60">
        <v>0.56874999999999998</v>
      </c>
      <c r="BG60">
        <v>0.43125000000000002</v>
      </c>
      <c r="BH60">
        <v>1</v>
      </c>
      <c r="BI60" t="s">
        <v>34</v>
      </c>
      <c r="BJ60" t="s">
        <v>35</v>
      </c>
      <c r="BK60" t="s">
        <v>34</v>
      </c>
      <c r="BL60" t="s">
        <v>29</v>
      </c>
      <c r="BM60">
        <v>2393.5385509631656</v>
      </c>
      <c r="BN60">
        <v>0.28437500000000043</v>
      </c>
      <c r="BO60">
        <v>0.21562499999999962</v>
      </c>
      <c r="BP60">
        <v>0.5</v>
      </c>
      <c r="BQ60">
        <v>0.46753413115398917</v>
      </c>
      <c r="BR60">
        <v>3.2465868846010854E-2</v>
      </c>
      <c r="BS60">
        <v>0.5</v>
      </c>
    </row>
    <row r="61" spans="47:71" x14ac:dyDescent="0.35">
      <c r="AU61" s="3">
        <v>0.44062499999999999</v>
      </c>
      <c r="AV61" s="10">
        <v>2376.1959090189798</v>
      </c>
      <c r="AW61" s="10">
        <v>2374.7601355823599</v>
      </c>
      <c r="AX61" s="10">
        <f t="shared" si="15"/>
        <v>2375.7844476162104</v>
      </c>
      <c r="AY61" s="10">
        <f t="shared" si="4"/>
        <v>0.41146140276941878</v>
      </c>
      <c r="AZ61" s="10">
        <f t="shared" si="5"/>
        <v>-1.0243120338504923</v>
      </c>
      <c r="BD61">
        <f t="shared" si="6"/>
        <v>0.55937499999999996</v>
      </c>
      <c r="BE61">
        <f t="shared" si="16"/>
        <v>0.44062499999999999</v>
      </c>
      <c r="BF61">
        <v>0.55937499999999996</v>
      </c>
      <c r="BG61">
        <v>0.44062499999999999</v>
      </c>
      <c r="BH61">
        <v>1</v>
      </c>
      <c r="BI61" t="s">
        <v>34</v>
      </c>
      <c r="BJ61" t="s">
        <v>35</v>
      </c>
      <c r="BK61" t="s">
        <v>34</v>
      </c>
      <c r="BL61" t="s">
        <v>29</v>
      </c>
      <c r="BM61">
        <v>2375.7844476162104</v>
      </c>
      <c r="BN61">
        <v>0.27968750000000014</v>
      </c>
      <c r="BO61">
        <v>0.22031249999999988</v>
      </c>
      <c r="BP61">
        <v>0.5</v>
      </c>
      <c r="BQ61">
        <v>0.46642797481946657</v>
      </c>
      <c r="BR61">
        <v>3.3572025180533475E-2</v>
      </c>
      <c r="BS61">
        <v>0.5</v>
      </c>
    </row>
    <row r="62" spans="47:71" x14ac:dyDescent="0.35">
      <c r="AU62" s="3">
        <v>0.45</v>
      </c>
      <c r="AV62" s="10">
        <v>2356.7927235575899</v>
      </c>
      <c r="AW62" s="10">
        <v>2355.47347332659</v>
      </c>
      <c r="AX62" s="10">
        <f t="shared" si="15"/>
        <v>2357.3555464678898</v>
      </c>
      <c r="AY62" s="10">
        <f t="shared" si="4"/>
        <v>-0.56282291029992848</v>
      </c>
      <c r="AZ62" s="10">
        <f t="shared" si="5"/>
        <v>-1.8820731412997702</v>
      </c>
      <c r="BD62">
        <f t="shared" si="6"/>
        <v>0.55000000000000004</v>
      </c>
      <c r="BE62">
        <f t="shared" si="16"/>
        <v>0.45</v>
      </c>
      <c r="BF62">
        <v>0.55000000000000004</v>
      </c>
      <c r="BG62">
        <v>0.45</v>
      </c>
      <c r="BH62">
        <v>1</v>
      </c>
      <c r="BI62" t="s">
        <v>34</v>
      </c>
      <c r="BJ62" t="s">
        <v>35</v>
      </c>
      <c r="BK62" t="s">
        <v>34</v>
      </c>
      <c r="BL62" t="s">
        <v>29</v>
      </c>
      <c r="BM62">
        <v>2357.3555464678898</v>
      </c>
      <c r="BN62">
        <v>0.2750000000000003</v>
      </c>
      <c r="BO62">
        <v>0.22499999999999973</v>
      </c>
      <c r="BP62">
        <v>0.5</v>
      </c>
      <c r="BQ62">
        <v>0.46527226922656029</v>
      </c>
      <c r="BR62">
        <v>3.472773077343972E-2</v>
      </c>
      <c r="BS62">
        <v>0.5</v>
      </c>
    </row>
    <row r="63" spans="47:71" x14ac:dyDescent="0.35">
      <c r="AU63" s="3">
        <v>0.45937499999999998</v>
      </c>
      <c r="AV63" s="10">
        <v>2336.5322183396802</v>
      </c>
      <c r="AW63" s="10">
        <v>2335.4314442043301</v>
      </c>
      <c r="AX63" s="10">
        <f t="shared" si="15"/>
        <v>2338.2262996548243</v>
      </c>
      <c r="AY63" s="10">
        <f t="shared" si="4"/>
        <v>-1.6940813151441034</v>
      </c>
      <c r="AZ63" s="10">
        <f t="shared" si="5"/>
        <v>-2.7948554504941967</v>
      </c>
      <c r="BD63">
        <f t="shared" si="6"/>
        <v>0.54062500000000002</v>
      </c>
      <c r="BE63">
        <f t="shared" si="16"/>
        <v>0.45937499999999998</v>
      </c>
      <c r="BF63">
        <v>0.54062500000000002</v>
      </c>
      <c r="BG63">
        <v>0.45937499999999998</v>
      </c>
      <c r="BH63">
        <v>1</v>
      </c>
      <c r="BI63" t="s">
        <v>34</v>
      </c>
      <c r="BJ63" t="s">
        <v>35</v>
      </c>
      <c r="BK63" t="s">
        <v>34</v>
      </c>
      <c r="BL63" t="s">
        <v>29</v>
      </c>
      <c r="BM63">
        <v>2338.2262996548243</v>
      </c>
      <c r="BN63">
        <v>0.27031249999999907</v>
      </c>
      <c r="BO63">
        <v>0.22968750000000093</v>
      </c>
      <c r="BP63">
        <v>0.5</v>
      </c>
      <c r="BQ63">
        <v>0.46406238657290461</v>
      </c>
      <c r="BR63">
        <v>3.5937613427095408E-2</v>
      </c>
      <c r="BS63">
        <v>0.5</v>
      </c>
    </row>
    <row r="64" spans="47:71" x14ac:dyDescent="0.35">
      <c r="AU64" s="3">
        <v>0.46875</v>
      </c>
      <c r="AV64" s="10">
        <v>2315.5035712201902</v>
      </c>
      <c r="AW64" s="10">
        <v>2314.6919662585201</v>
      </c>
      <c r="AX64" s="10">
        <f t="shared" si="15"/>
        <v>2318.3731006254225</v>
      </c>
      <c r="AY64" s="10">
        <f t="shared" si="4"/>
        <v>-2.8695294052322424</v>
      </c>
      <c r="AZ64" s="10">
        <f t="shared" si="5"/>
        <v>-3.6811343669023699</v>
      </c>
      <c r="BD64">
        <f t="shared" si="6"/>
        <v>0.53125</v>
      </c>
      <c r="BE64">
        <f t="shared" si="16"/>
        <v>0.46875</v>
      </c>
      <c r="BF64">
        <v>0.53125</v>
      </c>
      <c r="BG64">
        <v>0.46875</v>
      </c>
      <c r="BH64">
        <v>1</v>
      </c>
      <c r="BI64" t="s">
        <v>34</v>
      </c>
      <c r="BJ64" t="s">
        <v>35</v>
      </c>
      <c r="BK64" t="s">
        <v>34</v>
      </c>
      <c r="BL64" t="s">
        <v>29</v>
      </c>
      <c r="BM64">
        <v>2318.3731006254225</v>
      </c>
      <c r="BN64">
        <v>0.26562500000000044</v>
      </c>
      <c r="BO64">
        <v>0.23437499999999958</v>
      </c>
      <c r="BP64">
        <v>0.5</v>
      </c>
      <c r="BQ64">
        <v>0.46279316988821817</v>
      </c>
      <c r="BR64">
        <v>3.7206830111781816E-2</v>
      </c>
      <c r="BS64">
        <v>0.5</v>
      </c>
    </row>
    <row r="65" spans="47:71" x14ac:dyDescent="0.35">
      <c r="AU65" s="3">
        <v>0.47812500000000002</v>
      </c>
      <c r="AV65" s="10">
        <v>2293.7959600540698</v>
      </c>
      <c r="AW65" s="10">
        <v>2293.31295753212</v>
      </c>
      <c r="AX65" s="10">
        <f t="shared" si="15"/>
        <v>2297.7750879019181</v>
      </c>
      <c r="AY65" s="10">
        <f t="shared" si="4"/>
        <v>-3.9791278478483036</v>
      </c>
      <c r="AZ65" s="10">
        <f t="shared" si="5"/>
        <v>-4.4621303697981602</v>
      </c>
      <c r="BD65">
        <f t="shared" si="6"/>
        <v>0.52187499999999998</v>
      </c>
      <c r="BE65">
        <f t="shared" si="16"/>
        <v>0.47812500000000002</v>
      </c>
      <c r="BF65">
        <v>0.52187499999999998</v>
      </c>
      <c r="BG65">
        <v>0.47812500000000002</v>
      </c>
      <c r="BH65">
        <v>1</v>
      </c>
      <c r="BI65" t="s">
        <v>34</v>
      </c>
      <c r="BJ65" t="s">
        <v>35</v>
      </c>
      <c r="BK65" t="s">
        <v>34</v>
      </c>
      <c r="BL65" t="s">
        <v>29</v>
      </c>
      <c r="BM65">
        <v>2297.7750879019181</v>
      </c>
      <c r="BN65">
        <v>0.26093749999999916</v>
      </c>
      <c r="BO65">
        <v>0.23906250000000087</v>
      </c>
      <c r="BP65">
        <v>0.5</v>
      </c>
      <c r="BQ65">
        <v>0.46145885250181312</v>
      </c>
      <c r="BR65">
        <v>3.8541147498186899E-2</v>
      </c>
      <c r="BS65">
        <v>0.5</v>
      </c>
    </row>
    <row r="66" spans="47:71" x14ac:dyDescent="0.35">
      <c r="AU66" s="3">
        <v>0.48749999999999999</v>
      </c>
      <c r="AV66" s="10">
        <v>2271.4985626962698</v>
      </c>
      <c r="AW66" s="10">
        <v>2271.3523360681202</v>
      </c>
      <c r="AX66" s="10">
        <f t="shared" si="15"/>
        <v>2276.4150806370235</v>
      </c>
      <c r="AY66" s="10">
        <f t="shared" si="4"/>
        <v>-4.9165179407536925</v>
      </c>
      <c r="AZ66" s="10">
        <f t="shared" si="5"/>
        <v>-5.0627445689033266</v>
      </c>
      <c r="BD66">
        <f t="shared" si="6"/>
        <v>0.51249999999999996</v>
      </c>
      <c r="BE66">
        <f t="shared" si="16"/>
        <v>0.48749999999999999</v>
      </c>
      <c r="BF66">
        <v>0.51249999999999996</v>
      </c>
      <c r="BG66">
        <v>0.48749999999999999</v>
      </c>
      <c r="BH66">
        <v>1</v>
      </c>
      <c r="BI66" t="s">
        <v>34</v>
      </c>
      <c r="BJ66" t="s">
        <v>35</v>
      </c>
      <c r="BK66" t="s">
        <v>34</v>
      </c>
      <c r="BL66" t="s">
        <v>29</v>
      </c>
      <c r="BM66">
        <v>2276.4150806370235</v>
      </c>
      <c r="BN66">
        <v>0.25625000000000003</v>
      </c>
      <c r="BO66">
        <v>0.24374999999999994</v>
      </c>
      <c r="BP66">
        <v>0.5</v>
      </c>
      <c r="BQ66">
        <v>0.46005296081760122</v>
      </c>
      <c r="BR66">
        <v>3.9947039182398766E-2</v>
      </c>
      <c r="BS66">
        <v>0.5</v>
      </c>
    </row>
    <row r="67" spans="47:71" x14ac:dyDescent="0.35">
      <c r="AU67" s="3">
        <v>0.49687500000000001</v>
      </c>
      <c r="AV67" s="10">
        <v>2248.70055700174</v>
      </c>
      <c r="AW67" s="10">
        <v>2248.8680199094501</v>
      </c>
      <c r="AX67" s="10">
        <f t="shared" si="15"/>
        <v>2254.2806396504934</v>
      </c>
      <c r="AY67" s="10">
        <f t="shared" si="4"/>
        <v>-5.5800826487534323</v>
      </c>
      <c r="AZ67" s="10">
        <f t="shared" si="5"/>
        <v>-5.4126197410432724</v>
      </c>
      <c r="BD67">
        <f t="shared" si="6"/>
        <v>0.50312500000000004</v>
      </c>
      <c r="BE67">
        <f t="shared" si="16"/>
        <v>0.49687500000000001</v>
      </c>
      <c r="BF67">
        <v>0.50312500000000004</v>
      </c>
      <c r="BG67">
        <v>0.49687500000000001</v>
      </c>
      <c r="BH67">
        <v>1</v>
      </c>
      <c r="BI67" t="s">
        <v>34</v>
      </c>
      <c r="BJ67" t="s">
        <v>35</v>
      </c>
      <c r="BK67" t="s">
        <v>34</v>
      </c>
      <c r="BL67" t="s">
        <v>29</v>
      </c>
      <c r="BM67">
        <v>2254.2806396504934</v>
      </c>
      <c r="BN67">
        <v>0.25156250000000002</v>
      </c>
      <c r="BO67">
        <v>0.24843749999999998</v>
      </c>
      <c r="BP67">
        <v>0.5</v>
      </c>
      <c r="BQ67">
        <v>0.45856819517729908</v>
      </c>
      <c r="BR67">
        <v>4.1431804822700966E-2</v>
      </c>
      <c r="BS67">
        <v>0.5</v>
      </c>
    </row>
    <row r="68" spans="47:71" x14ac:dyDescent="0.35">
      <c r="AU68" s="3">
        <v>0.50624999999999998</v>
      </c>
      <c r="AV68" s="10">
        <v>2225.4911208254298</v>
      </c>
      <c r="AW68" s="10">
        <v>2225.9179270990999</v>
      </c>
      <c r="AX68" s="10">
        <f t="shared" si="15"/>
        <v>2231.3652341937027</v>
      </c>
      <c r="AY68" s="10">
        <f t="shared" si="4"/>
        <v>-5.8741133682729014</v>
      </c>
      <c r="AZ68" s="10">
        <f t="shared" si="5"/>
        <v>-5.4473070946028201</v>
      </c>
      <c r="BD68">
        <f t="shared" si="6"/>
        <v>0.49375000000000002</v>
      </c>
      <c r="BE68">
        <f t="shared" si="16"/>
        <v>0.50624999999999998</v>
      </c>
      <c r="BF68">
        <v>0.49375000000000002</v>
      </c>
      <c r="BG68">
        <v>0.50624999999999998</v>
      </c>
      <c r="BH68">
        <v>1</v>
      </c>
      <c r="BI68" t="s">
        <v>34</v>
      </c>
      <c r="BJ68" t="s">
        <v>35</v>
      </c>
      <c r="BK68" t="s">
        <v>34</v>
      </c>
      <c r="BL68" t="s">
        <v>29</v>
      </c>
      <c r="BM68">
        <v>2231.3652341937027</v>
      </c>
      <c r="BN68">
        <v>0.24687499999999996</v>
      </c>
      <c r="BO68">
        <v>0.25312500000000004</v>
      </c>
      <c r="BP68">
        <v>0.5</v>
      </c>
      <c r="BQ68">
        <v>0.45699628139238863</v>
      </c>
      <c r="BR68">
        <v>4.3003718607611333E-2</v>
      </c>
      <c r="BS68">
        <v>0.5</v>
      </c>
    </row>
    <row r="69" spans="47:71" x14ac:dyDescent="0.35">
      <c r="AU69" s="3">
        <v>0.515625</v>
      </c>
      <c r="AV69" s="10">
        <v>2201.95943202228</v>
      </c>
      <c r="AW69" s="10">
        <v>2202.5599756800102</v>
      </c>
      <c r="AX69" s="10">
        <f t="shared" si="15"/>
        <v>2207.6694770988015</v>
      </c>
      <c r="AY69" s="10">
        <f t="shared" si="4"/>
        <v>-5.7100450765215101</v>
      </c>
      <c r="AZ69" s="10">
        <f t="shared" si="5"/>
        <v>-5.1095014187912966</v>
      </c>
      <c r="BD69">
        <f t="shared" si="6"/>
        <v>0.484375</v>
      </c>
      <c r="BE69">
        <f t="shared" si="16"/>
        <v>0.515625</v>
      </c>
      <c r="BF69">
        <v>0.484375</v>
      </c>
      <c r="BG69">
        <v>0.515625</v>
      </c>
      <c r="BH69">
        <v>1</v>
      </c>
      <c r="BI69" t="s">
        <v>34</v>
      </c>
      <c r="BJ69" t="s">
        <v>35</v>
      </c>
      <c r="BK69" t="s">
        <v>34</v>
      </c>
      <c r="BL69" t="s">
        <v>29</v>
      </c>
      <c r="BM69">
        <v>2207.6694770988015</v>
      </c>
      <c r="BN69">
        <v>0.24218749999999969</v>
      </c>
      <c r="BO69">
        <v>0.25781250000000028</v>
      </c>
      <c r="BP69">
        <v>0.5</v>
      </c>
      <c r="BQ69">
        <v>0.45532778229996757</v>
      </c>
      <c r="BR69">
        <v>4.4672217700032435E-2</v>
      </c>
      <c r="BS69">
        <v>0.5</v>
      </c>
    </row>
    <row r="70" spans="47:71" x14ac:dyDescent="0.35">
      <c r="AU70" s="3">
        <v>0.52500000000000002</v>
      </c>
      <c r="AV70" s="10">
        <v>2178.19466844725</v>
      </c>
      <c r="AW70" s="10">
        <v>2178.8520836951502</v>
      </c>
      <c r="AX70" s="10">
        <f t="shared" si="15"/>
        <v>2183.2023699441002</v>
      </c>
      <c r="AY70" s="10">
        <f t="shared" si="4"/>
        <v>-5.0077014968501317</v>
      </c>
      <c r="AZ70" s="10">
        <f t="shared" si="5"/>
        <v>-4.3502862489499421</v>
      </c>
      <c r="BD70">
        <f t="shared" si="6"/>
        <v>0.47499999999999998</v>
      </c>
      <c r="BE70">
        <f t="shared" si="16"/>
        <v>0.52500000000000002</v>
      </c>
      <c r="BF70">
        <v>0.47499999999999998</v>
      </c>
      <c r="BG70">
        <v>0.52500000000000002</v>
      </c>
      <c r="BH70">
        <v>1</v>
      </c>
      <c r="BI70" t="s">
        <v>34</v>
      </c>
      <c r="BJ70" t="s">
        <v>35</v>
      </c>
      <c r="BK70" t="s">
        <v>34</v>
      </c>
      <c r="BL70" t="s">
        <v>29</v>
      </c>
      <c r="BM70">
        <v>2183.2023699441002</v>
      </c>
      <c r="BN70">
        <v>0.23750000000000071</v>
      </c>
      <c r="BO70">
        <v>0.26249999999999934</v>
      </c>
      <c r="BP70">
        <v>0.5</v>
      </c>
      <c r="BQ70">
        <v>0.45355185396203151</v>
      </c>
      <c r="BR70">
        <v>4.644814603796843E-2</v>
      </c>
      <c r="BS70">
        <v>0.5</v>
      </c>
    </row>
    <row r="71" spans="47:71" x14ac:dyDescent="0.35">
      <c r="AU71" s="3">
        <v>0.53437500000000004</v>
      </c>
      <c r="AV71" s="10">
        <v>2154.2860079552702</v>
      </c>
      <c r="AW71" s="10">
        <v>2154.8521691874998</v>
      </c>
      <c r="AX71" s="10">
        <f t="shared" si="15"/>
        <v>2157.9824774117037</v>
      </c>
      <c r="AY71" s="10">
        <f t="shared" si="4"/>
        <v>-3.6964694564335332</v>
      </c>
      <c r="AZ71" s="10">
        <f t="shared" si="5"/>
        <v>-3.1303082242038727</v>
      </c>
      <c r="BD71">
        <f t="shared" si="6"/>
        <v>0.46562499999999996</v>
      </c>
      <c r="BE71">
        <f t="shared" si="16"/>
        <v>0.53437500000000004</v>
      </c>
      <c r="BF71">
        <v>0.46562499999999996</v>
      </c>
      <c r="BG71">
        <v>0.53437500000000004</v>
      </c>
      <c r="BH71">
        <v>1</v>
      </c>
      <c r="BI71" t="s">
        <v>34</v>
      </c>
      <c r="BJ71" t="s">
        <v>35</v>
      </c>
      <c r="BK71" t="s">
        <v>34</v>
      </c>
      <c r="BL71" t="s">
        <v>29</v>
      </c>
      <c r="BM71">
        <v>2157.9824774117037</v>
      </c>
      <c r="BN71">
        <v>0.23281250000000042</v>
      </c>
      <c r="BO71">
        <v>0.26718749999999963</v>
      </c>
      <c r="BP71">
        <v>0.5</v>
      </c>
      <c r="BQ71">
        <v>0.45165592415676037</v>
      </c>
      <c r="BR71">
        <v>4.8344075843239583E-2</v>
      </c>
      <c r="BS71">
        <v>0.5</v>
      </c>
    </row>
    <row r="72" spans="47:71" x14ac:dyDescent="0.35">
      <c r="AU72" s="3">
        <v>0.54374999999999996</v>
      </c>
      <c r="AV72" s="10">
        <v>2130.3226284013099</v>
      </c>
      <c r="AW72" s="10">
        <v>2130.6181501999899</v>
      </c>
      <c r="AX72" s="10">
        <f t="shared" si="15"/>
        <v>2132.0389297819133</v>
      </c>
      <c r="AY72" s="10">
        <f t="shared" si="4"/>
        <v>-1.7163013806034542</v>
      </c>
      <c r="AZ72" s="10">
        <f t="shared" si="5"/>
        <v>-1.4207795819233979</v>
      </c>
      <c r="BD72">
        <f t="shared" si="6"/>
        <v>0.45625000000000004</v>
      </c>
      <c r="BE72">
        <f t="shared" si="16"/>
        <v>0.54374999999999996</v>
      </c>
      <c r="BF72">
        <v>0.45625000000000004</v>
      </c>
      <c r="BG72">
        <v>0.54374999999999996</v>
      </c>
      <c r="BH72">
        <v>1</v>
      </c>
      <c r="BI72" t="s">
        <v>34</v>
      </c>
      <c r="BJ72" t="s">
        <v>35</v>
      </c>
      <c r="BK72" t="s">
        <v>34</v>
      </c>
      <c r="BL72" t="s">
        <v>29</v>
      </c>
      <c r="BM72">
        <v>2132.0389297819133</v>
      </c>
      <c r="BN72">
        <v>0.22812500000000002</v>
      </c>
      <c r="BO72">
        <v>0.27187500000000003</v>
      </c>
      <c r="BP72">
        <v>0.5</v>
      </c>
      <c r="BQ72">
        <v>0.44962526047982149</v>
      </c>
      <c r="BR72">
        <v>5.0374739520178527E-2</v>
      </c>
      <c r="BS72">
        <v>0.5</v>
      </c>
    </row>
    <row r="73" spans="47:71" x14ac:dyDescent="0.35">
      <c r="AU73" s="3">
        <v>0.55312499999999998</v>
      </c>
      <c r="AV73" s="10">
        <v>2106.32104913892</v>
      </c>
      <c r="AW73" s="10">
        <v>2106.15873546393</v>
      </c>
      <c r="AX73" s="10">
        <f t="shared" si="15"/>
        <v>2105.4121398484986</v>
      </c>
      <c r="AY73" s="10">
        <f t="shared" si="4"/>
        <v>0.90890929042143398</v>
      </c>
      <c r="AZ73" s="10">
        <f t="shared" si="5"/>
        <v>0.74659561543148811</v>
      </c>
      <c r="BD73">
        <f t="shared" si="6"/>
        <v>0.44687500000000002</v>
      </c>
      <c r="BE73">
        <f t="shared" si="16"/>
        <v>0.55312499999999998</v>
      </c>
      <c r="BF73">
        <v>0.44687500000000002</v>
      </c>
      <c r="BG73">
        <v>0.55312499999999998</v>
      </c>
      <c r="BH73">
        <v>1</v>
      </c>
      <c r="BI73" t="s">
        <v>34</v>
      </c>
      <c r="BJ73" t="s">
        <v>35</v>
      </c>
      <c r="BK73" t="s">
        <v>34</v>
      </c>
      <c r="BL73" t="s">
        <v>29</v>
      </c>
      <c r="BM73">
        <v>2105.4121398484986</v>
      </c>
      <c r="BN73">
        <v>0.22343749999999996</v>
      </c>
      <c r="BO73">
        <v>0.27656250000000004</v>
      </c>
      <c r="BP73">
        <v>0.5</v>
      </c>
      <c r="BQ73">
        <v>0.44744237987882279</v>
      </c>
      <c r="BR73">
        <v>5.2557620121177213E-2</v>
      </c>
      <c r="BS73">
        <v>0.5</v>
      </c>
    </row>
    <row r="74" spans="47:71" x14ac:dyDescent="0.35">
      <c r="AU74" s="3">
        <v>0.5625</v>
      </c>
      <c r="AV74" s="10">
        <v>2081.4252419692498</v>
      </c>
      <c r="AW74" s="10">
        <v>2080.8929985721402</v>
      </c>
      <c r="AX74" s="10">
        <f t="shared" si="15"/>
        <v>2078.1541219696073</v>
      </c>
      <c r="AY74" s="10">
        <f t="shared" si="4"/>
        <v>3.2711199996424511</v>
      </c>
      <c r="AZ74" s="10">
        <f t="shared" si="5"/>
        <v>2.738876602532855</v>
      </c>
      <c r="BD74">
        <f t="shared" si="6"/>
        <v>0.4375</v>
      </c>
      <c r="BE74">
        <f t="shared" si="16"/>
        <v>0.5625</v>
      </c>
      <c r="BF74">
        <v>0.4375</v>
      </c>
      <c r="BG74">
        <v>0.5625</v>
      </c>
      <c r="BH74">
        <v>1</v>
      </c>
      <c r="BI74" t="s">
        <v>34</v>
      </c>
      <c r="BJ74" t="s">
        <v>35</v>
      </c>
      <c r="BK74" t="s">
        <v>34</v>
      </c>
      <c r="BL74" t="s">
        <v>29</v>
      </c>
      <c r="BM74">
        <v>2078.1541219696073</v>
      </c>
      <c r="BN74">
        <v>0.21875000000000111</v>
      </c>
      <c r="BO74">
        <v>0.28124999999999889</v>
      </c>
      <c r="BP74">
        <v>0.5</v>
      </c>
      <c r="BQ74">
        <v>0.44508622775564527</v>
      </c>
      <c r="BR74">
        <v>5.4913772244354751E-2</v>
      </c>
      <c r="BS74">
        <v>0.5</v>
      </c>
    </row>
    <row r="75" spans="47:71" x14ac:dyDescent="0.35">
      <c r="AU75" s="3">
        <v>0.57187500000000002</v>
      </c>
      <c r="AV75" s="10">
        <v>2055.4317334422799</v>
      </c>
      <c r="AW75" s="10">
        <v>2054.6847597012302</v>
      </c>
      <c r="AX75" s="10">
        <f t="shared" si="15"/>
        <v>2050.3283229133835</v>
      </c>
      <c r="AY75" s="10">
        <f t="shared" si="4"/>
        <v>5.1034105288963474</v>
      </c>
      <c r="AZ75" s="10">
        <f t="shared" si="5"/>
        <v>4.3564367878466328</v>
      </c>
      <c r="BD75">
        <f t="shared" si="6"/>
        <v>0.42812499999999998</v>
      </c>
      <c r="BE75">
        <f t="shared" si="16"/>
        <v>0.57187500000000002</v>
      </c>
      <c r="BF75">
        <v>0.42812499999999998</v>
      </c>
      <c r="BG75">
        <v>0.57187500000000002</v>
      </c>
      <c r="BH75">
        <v>1</v>
      </c>
      <c r="BI75" t="s">
        <v>34</v>
      </c>
      <c r="BJ75" t="s">
        <v>35</v>
      </c>
      <c r="BK75" t="s">
        <v>34</v>
      </c>
      <c r="BL75" t="s">
        <v>29</v>
      </c>
      <c r="BM75">
        <v>2050.3283229133835</v>
      </c>
      <c r="BN75">
        <v>0.21406250000000182</v>
      </c>
      <c r="BO75">
        <v>0.28593749999999818</v>
      </c>
      <c r="BP75">
        <v>0.5</v>
      </c>
      <c r="BQ75">
        <v>0.44253101758359897</v>
      </c>
      <c r="BR75">
        <v>5.7468982416401061E-2</v>
      </c>
      <c r="BS75">
        <v>0.5</v>
      </c>
    </row>
    <row r="76" spans="47:71" x14ac:dyDescent="0.35">
      <c r="AU76" s="3">
        <v>0.58125000000000004</v>
      </c>
      <c r="AV76" s="10">
        <v>2028.42752272957</v>
      </c>
      <c r="AW76" s="10">
        <v>2027.59489542496</v>
      </c>
      <c r="AX76" s="10">
        <f t="shared" si="15"/>
        <v>2022.0089211247741</v>
      </c>
      <c r="AY76" s="10">
        <f t="shared" si="4"/>
        <v>6.4186016047958674</v>
      </c>
      <c r="AZ76" s="10">
        <f t="shared" si="5"/>
        <v>5.5859743001858533</v>
      </c>
      <c r="BD76">
        <f t="shared" si="6"/>
        <v>0.41874999999999996</v>
      </c>
      <c r="BE76">
        <f t="shared" si="16"/>
        <v>0.58125000000000004</v>
      </c>
      <c r="BF76">
        <v>0.41874999999999996</v>
      </c>
      <c r="BG76">
        <v>0.58125000000000004</v>
      </c>
      <c r="BH76">
        <v>1</v>
      </c>
      <c r="BI76" t="s">
        <v>34</v>
      </c>
      <c r="BJ76" t="s">
        <v>35</v>
      </c>
      <c r="BK76" t="s">
        <v>34</v>
      </c>
      <c r="BL76" t="s">
        <v>29</v>
      </c>
      <c r="BM76">
        <v>2022.0089211247741</v>
      </c>
      <c r="BN76">
        <v>0.20937500000000031</v>
      </c>
      <c r="BO76">
        <v>0.29062499999999974</v>
      </c>
      <c r="BP76">
        <v>0.5</v>
      </c>
      <c r="BQ76">
        <v>0.43974456164628484</v>
      </c>
      <c r="BR76">
        <v>6.0255438353715225E-2</v>
      </c>
      <c r="BS76">
        <v>0.5</v>
      </c>
    </row>
    <row r="77" spans="47:71" x14ac:dyDescent="0.35">
      <c r="AU77" s="3">
        <v>0.59062499999999996</v>
      </c>
      <c r="AV77" s="10">
        <v>2000.49960900267</v>
      </c>
      <c r="AW77" s="10">
        <v>1999.68428231708</v>
      </c>
      <c r="AX77" s="10">
        <f t="shared" si="15"/>
        <v>1993.2796238858559</v>
      </c>
      <c r="AY77" s="10">
        <f t="shared" si="4"/>
        <v>7.2199851168140867</v>
      </c>
      <c r="AZ77" s="10">
        <f t="shared" si="5"/>
        <v>6.4046584312241066</v>
      </c>
      <c r="BD77">
        <f t="shared" si="6"/>
        <v>0.40937500000000004</v>
      </c>
      <c r="BE77">
        <f t="shared" si="16"/>
        <v>0.59062499999999996</v>
      </c>
      <c r="BF77">
        <v>0.40937500000000004</v>
      </c>
      <c r="BG77">
        <v>0.59062499999999996</v>
      </c>
      <c r="BH77">
        <v>1</v>
      </c>
      <c r="BI77" t="s">
        <v>34</v>
      </c>
      <c r="BJ77" t="s">
        <v>35</v>
      </c>
      <c r="BK77" t="s">
        <v>34</v>
      </c>
      <c r="BL77" t="s">
        <v>29</v>
      </c>
      <c r="BM77">
        <v>1993.2796238858559</v>
      </c>
      <c r="BN77">
        <v>0.20468749999999994</v>
      </c>
      <c r="BO77">
        <v>0.29531250000000003</v>
      </c>
      <c r="BP77">
        <v>0.5</v>
      </c>
      <c r="BQ77">
        <v>0.43668582180902987</v>
      </c>
      <c r="BR77">
        <v>6.3314178190970127E-2</v>
      </c>
      <c r="BS77">
        <v>0.5</v>
      </c>
    </row>
    <row r="78" spans="47:71" x14ac:dyDescent="0.35">
      <c r="AU78" s="3">
        <v>0.6</v>
      </c>
      <c r="AV78" s="10">
        <v>1971.7349914331301</v>
      </c>
      <c r="AW78" s="10">
        <v>1971.0137969513701</v>
      </c>
      <c r="AX78" s="10">
        <f t="shared" si="15"/>
        <v>1964.2320874353375</v>
      </c>
      <c r="AY78" s="10">
        <f t="shared" si="4"/>
        <v>7.5029039977926004</v>
      </c>
      <c r="AZ78" s="10">
        <f t="shared" si="5"/>
        <v>6.7817095160326062</v>
      </c>
      <c r="BD78">
        <f t="shared" si="6"/>
        <v>0.4</v>
      </c>
      <c r="BE78">
        <f t="shared" si="16"/>
        <v>0.6</v>
      </c>
      <c r="BF78">
        <v>0.4</v>
      </c>
      <c r="BG78">
        <v>0.6</v>
      </c>
      <c r="BH78">
        <v>1</v>
      </c>
      <c r="BI78" t="s">
        <v>34</v>
      </c>
      <c r="BJ78" t="s">
        <v>35</v>
      </c>
      <c r="BK78" t="s">
        <v>34</v>
      </c>
      <c r="BL78" t="s">
        <v>29</v>
      </c>
      <c r="BM78">
        <v>1964.2320874353375</v>
      </c>
      <c r="BN78">
        <v>0.19999999999999948</v>
      </c>
      <c r="BO78">
        <v>0.30000000000000054</v>
      </c>
      <c r="BP78">
        <v>0.5</v>
      </c>
      <c r="BQ78">
        <v>0.43330123060291981</v>
      </c>
      <c r="BR78">
        <v>6.6698769397080193E-2</v>
      </c>
      <c r="BS78">
        <v>0.5</v>
      </c>
    </row>
  </sheetData>
  <phoneticPr fontId="3" type="noConversion"/>
  <conditionalFormatting sqref="AY14:AZ78">
    <cfRule type="colorScale" priority="1">
      <colorScale>
        <cfvo type="min"/>
        <cfvo type="num" val="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DA99B-3A86-42A5-A45C-EECEBFF1FC1C}">
  <dimension ref="A1:C6"/>
  <sheetViews>
    <sheetView workbookViewId="0">
      <selection activeCell="A2" sqref="A2:C6"/>
    </sheetView>
  </sheetViews>
  <sheetFormatPr defaultRowHeight="14.5" x14ac:dyDescent="0.35"/>
  <cols>
    <col min="2" max="2" width="9.36328125" bestFit="1" customWidth="1"/>
    <col min="3" max="3" width="11.81640625" bestFit="1" customWidth="1"/>
  </cols>
  <sheetData>
    <row r="1" spans="1:3" x14ac:dyDescent="0.35">
      <c r="A1" t="s">
        <v>69</v>
      </c>
      <c r="B1" t="s">
        <v>70</v>
      </c>
      <c r="C1" t="s">
        <v>71</v>
      </c>
    </row>
    <row r="2" spans="1:3" x14ac:dyDescent="0.35">
      <c r="A2">
        <v>2845.1620499943451</v>
      </c>
      <c r="B2">
        <v>1</v>
      </c>
      <c r="C2">
        <v>1</v>
      </c>
    </row>
    <row r="3" spans="1:3" x14ac:dyDescent="0.35">
      <c r="A3">
        <v>2687.9922515909379</v>
      </c>
      <c r="B3">
        <v>0.7999999999999996</v>
      </c>
      <c r="C3">
        <v>0.97315198359490585</v>
      </c>
    </row>
    <row r="4" spans="1:3" x14ac:dyDescent="0.35">
      <c r="A4">
        <v>2448.1940743328091</v>
      </c>
      <c r="B4">
        <v>0.60000000000000098</v>
      </c>
      <c r="C4">
        <v>0.94182804739003601</v>
      </c>
    </row>
    <row r="5" spans="1:3" x14ac:dyDescent="0.35">
      <c r="A5">
        <v>2114.3606806376374</v>
      </c>
      <c r="B5">
        <v>0.45000000000000084</v>
      </c>
      <c r="C5">
        <v>0.89637626987552865</v>
      </c>
    </row>
    <row r="6" spans="1:3" x14ac:dyDescent="0.35">
      <c r="A6">
        <v>1807.7843692250344</v>
      </c>
      <c r="B6">
        <v>0.34986697539418921</v>
      </c>
      <c r="C6">
        <v>0.80965600720412167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28444-2EF4-48DD-AEB0-887752C370AD}">
  <dimension ref="D5:O20"/>
  <sheetViews>
    <sheetView workbookViewId="0">
      <selection activeCell="E11" sqref="E11"/>
    </sheetView>
  </sheetViews>
  <sheetFormatPr defaultRowHeight="14.5" x14ac:dyDescent="0.35"/>
  <sheetData>
    <row r="5" spans="4:15" x14ac:dyDescent="0.35">
      <c r="E5" t="s">
        <v>75</v>
      </c>
      <c r="F5">
        <v>1</v>
      </c>
      <c r="G5">
        <v>1</v>
      </c>
      <c r="H5">
        <v>-1</v>
      </c>
    </row>
    <row r="6" spans="4:15" x14ac:dyDescent="0.35">
      <c r="E6" t="s">
        <v>76</v>
      </c>
      <c r="F6">
        <v>-2</v>
      </c>
      <c r="G6">
        <v>-2</v>
      </c>
      <c r="H6">
        <v>-2</v>
      </c>
    </row>
    <row r="7" spans="4:15" x14ac:dyDescent="0.35">
      <c r="E7" t="s">
        <v>77</v>
      </c>
      <c r="F7">
        <v>1</v>
      </c>
      <c r="G7">
        <v>2</v>
      </c>
      <c r="H7">
        <v>4</v>
      </c>
    </row>
    <row r="8" spans="4:15" x14ac:dyDescent="0.35">
      <c r="E8" t="s">
        <v>78</v>
      </c>
      <c r="F8">
        <v>0</v>
      </c>
      <c r="G8">
        <v>-0.5</v>
      </c>
      <c r="H8">
        <v>-1</v>
      </c>
    </row>
    <row r="9" spans="4:15" x14ac:dyDescent="0.35">
      <c r="E9" t="s">
        <v>72</v>
      </c>
      <c r="F9" t="s">
        <v>73</v>
      </c>
      <c r="G9" t="s">
        <v>74</v>
      </c>
      <c r="H9" t="s">
        <v>79</v>
      </c>
    </row>
    <row r="10" spans="4:15" x14ac:dyDescent="0.35">
      <c r="D10">
        <v>0</v>
      </c>
      <c r="E10">
        <v>0</v>
      </c>
      <c r="F10">
        <f>F$5*$E10^3+F$6*$E10^2+F$7*$E10+F$8</f>
        <v>0</v>
      </c>
      <c r="G10">
        <f>G$5*$E10^3+G$6*$E10^2+G$7*$E10+G$8</f>
        <v>-0.5</v>
      </c>
      <c r="H10">
        <f>H$5*$E10^3+H$6*$E10^2+H$7*$E10+H$8</f>
        <v>-1</v>
      </c>
      <c r="L10" t="s">
        <v>72</v>
      </c>
      <c r="M10" t="s">
        <v>73</v>
      </c>
      <c r="N10" t="s">
        <v>74</v>
      </c>
      <c r="O10" t="s">
        <v>79</v>
      </c>
    </row>
    <row r="11" spans="4:15" x14ac:dyDescent="0.35">
      <c r="D11">
        <v>1</v>
      </c>
      <c r="E11">
        <v>0.1</v>
      </c>
      <c r="F11">
        <f t="shared" ref="F11:H20" si="0">F$5*$E11^3+F$6*$E11^2+F$7*$E11+F$8</f>
        <v>8.1000000000000003E-2</v>
      </c>
      <c r="G11">
        <f t="shared" si="0"/>
        <v>-0.31900000000000001</v>
      </c>
      <c r="H11">
        <f t="shared" si="0"/>
        <v>-0.621</v>
      </c>
      <c r="L11">
        <v>0.3</v>
      </c>
      <c r="M11">
        <v>0.08</v>
      </c>
      <c r="N11">
        <v>0.25</v>
      </c>
      <c r="O11" s="12" t="s">
        <v>80</v>
      </c>
    </row>
    <row r="12" spans="4:15" x14ac:dyDescent="0.35">
      <c r="D12">
        <v>2</v>
      </c>
      <c r="E12">
        <v>0.2</v>
      </c>
      <c r="F12">
        <f t="shared" si="0"/>
        <v>0.128</v>
      </c>
      <c r="G12">
        <f t="shared" si="0"/>
        <v>-0.17199999999999999</v>
      </c>
      <c r="H12">
        <f t="shared" si="0"/>
        <v>-0.28800000000000003</v>
      </c>
      <c r="L12">
        <v>0.7</v>
      </c>
    </row>
    <row r="13" spans="4:15" x14ac:dyDescent="0.35">
      <c r="D13">
        <v>3</v>
      </c>
      <c r="E13" s="4">
        <v>0.3</v>
      </c>
      <c r="F13" s="11">
        <f t="shared" si="0"/>
        <v>0.14699999999999999</v>
      </c>
      <c r="G13" s="4">
        <f t="shared" si="0"/>
        <v>-5.3000000000000047E-2</v>
      </c>
      <c r="H13" s="4">
        <f t="shared" si="0"/>
        <v>-7.0000000000000062E-3</v>
      </c>
    </row>
    <row r="14" spans="4:15" x14ac:dyDescent="0.35">
      <c r="D14">
        <v>4</v>
      </c>
      <c r="E14">
        <v>0.4</v>
      </c>
      <c r="F14">
        <f t="shared" si="0"/>
        <v>0.14399999999999996</v>
      </c>
      <c r="G14">
        <f t="shared" si="0"/>
        <v>4.4000000000000039E-2</v>
      </c>
      <c r="H14">
        <f t="shared" si="0"/>
        <v>0.21599999999999997</v>
      </c>
    </row>
    <row r="15" spans="4:15" x14ac:dyDescent="0.35">
      <c r="D15">
        <v>5</v>
      </c>
      <c r="E15">
        <v>0.5</v>
      </c>
      <c r="F15">
        <f t="shared" si="0"/>
        <v>0.125</v>
      </c>
      <c r="G15">
        <f t="shared" si="0"/>
        <v>0.125</v>
      </c>
      <c r="H15">
        <f t="shared" si="0"/>
        <v>0.375</v>
      </c>
    </row>
    <row r="16" spans="4:15" x14ac:dyDescent="0.35">
      <c r="D16">
        <v>6</v>
      </c>
      <c r="E16">
        <v>0.6</v>
      </c>
      <c r="F16">
        <f t="shared" si="0"/>
        <v>9.5999999999999974E-2</v>
      </c>
      <c r="G16">
        <f t="shared" si="0"/>
        <v>0.19599999999999995</v>
      </c>
      <c r="H16">
        <f t="shared" si="0"/>
        <v>0.46399999999999997</v>
      </c>
    </row>
    <row r="17" spans="4:8" x14ac:dyDescent="0.35">
      <c r="D17">
        <v>7</v>
      </c>
      <c r="E17" s="4">
        <v>0.7</v>
      </c>
      <c r="F17" s="4">
        <f t="shared" si="0"/>
        <v>6.2999999999999945E-2</v>
      </c>
      <c r="G17" s="4">
        <f t="shared" si="0"/>
        <v>0.2629999999999999</v>
      </c>
      <c r="H17" s="11">
        <f t="shared" si="0"/>
        <v>0.47700000000000009</v>
      </c>
    </row>
    <row r="18" spans="4:8" x14ac:dyDescent="0.35">
      <c r="D18">
        <v>8</v>
      </c>
      <c r="E18">
        <v>0.8</v>
      </c>
      <c r="F18">
        <f t="shared" si="0"/>
        <v>3.1999999999999917E-2</v>
      </c>
      <c r="G18">
        <f t="shared" si="0"/>
        <v>0.33199999999999996</v>
      </c>
      <c r="H18">
        <f t="shared" si="0"/>
        <v>0.40799999999999992</v>
      </c>
    </row>
    <row r="19" spans="4:8" x14ac:dyDescent="0.35">
      <c r="D19">
        <v>9</v>
      </c>
      <c r="E19">
        <v>0.9</v>
      </c>
      <c r="F19">
        <f t="shared" si="0"/>
        <v>9.000000000000008E-3</v>
      </c>
      <c r="G19">
        <f t="shared" si="0"/>
        <v>0.40900000000000003</v>
      </c>
      <c r="H19">
        <f t="shared" si="0"/>
        <v>0.25099999999999989</v>
      </c>
    </row>
    <row r="20" spans="4:8" x14ac:dyDescent="0.35">
      <c r="D20">
        <v>10</v>
      </c>
      <c r="E20">
        <v>1</v>
      </c>
      <c r="F20">
        <f t="shared" si="0"/>
        <v>0</v>
      </c>
      <c r="G20">
        <f t="shared" si="0"/>
        <v>0.5</v>
      </c>
      <c r="H20">
        <f t="shared" si="0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85977-0A48-4569-BCE9-532CE61BC73F}">
  <dimension ref="A1:D12"/>
  <sheetViews>
    <sheetView workbookViewId="0">
      <selection activeCell="D9" sqref="D9"/>
    </sheetView>
  </sheetViews>
  <sheetFormatPr defaultRowHeight="14.5" x14ac:dyDescent="0.35"/>
  <sheetData>
    <row r="1" spans="1:4" x14ac:dyDescent="0.35">
      <c r="A1" t="s">
        <v>72</v>
      </c>
      <c r="B1" t="s">
        <v>73</v>
      </c>
      <c r="C1" t="s">
        <v>74</v>
      </c>
      <c r="D1" t="s">
        <v>79</v>
      </c>
    </row>
    <row r="2" spans="1:4" x14ac:dyDescent="0.35">
      <c r="A2">
        <v>0</v>
      </c>
      <c r="B2">
        <v>0</v>
      </c>
      <c r="C2">
        <v>-0.5</v>
      </c>
      <c r="D2">
        <v>-1</v>
      </c>
    </row>
    <row r="3" spans="1:4" x14ac:dyDescent="0.35">
      <c r="A3">
        <v>0.1</v>
      </c>
      <c r="B3">
        <v>8.1000000000000003E-2</v>
      </c>
      <c r="C3">
        <v>-0.31900000000000001</v>
      </c>
      <c r="D3">
        <v>-0.621</v>
      </c>
    </row>
    <row r="4" spans="1:4" x14ac:dyDescent="0.35">
      <c r="A4">
        <v>0.2</v>
      </c>
      <c r="B4">
        <v>0.128</v>
      </c>
      <c r="C4">
        <v>-0.17199999999999999</v>
      </c>
      <c r="D4">
        <v>-0.28800000000000003</v>
      </c>
    </row>
    <row r="5" spans="1:4" x14ac:dyDescent="0.35">
      <c r="A5" s="4">
        <v>0.3</v>
      </c>
      <c r="B5" s="11">
        <v>0.14699999999999999</v>
      </c>
      <c r="C5" s="4">
        <v>-5.3000000000000047E-2</v>
      </c>
      <c r="D5" s="4">
        <v>-7.0000000000000062E-3</v>
      </c>
    </row>
    <row r="6" spans="1:4" x14ac:dyDescent="0.35">
      <c r="A6">
        <v>0.4</v>
      </c>
      <c r="B6">
        <v>0.14399999999999996</v>
      </c>
      <c r="C6">
        <v>4.4000000000000039E-2</v>
      </c>
      <c r="D6">
        <v>0.21599999999999997</v>
      </c>
    </row>
    <row r="7" spans="1:4" x14ac:dyDescent="0.35">
      <c r="A7">
        <v>0.5</v>
      </c>
      <c r="B7">
        <v>0.125</v>
      </c>
      <c r="C7">
        <v>0.125</v>
      </c>
      <c r="D7">
        <v>0.375</v>
      </c>
    </row>
    <row r="8" spans="1:4" x14ac:dyDescent="0.35">
      <c r="A8">
        <v>0.6</v>
      </c>
      <c r="B8">
        <v>9.5999999999999974E-2</v>
      </c>
      <c r="C8">
        <v>0.19599999999999995</v>
      </c>
      <c r="D8">
        <v>0.46399999999999997</v>
      </c>
    </row>
    <row r="9" spans="1:4" x14ac:dyDescent="0.35">
      <c r="A9" s="4">
        <v>0.7</v>
      </c>
      <c r="B9" s="4">
        <v>6.2999999999999945E-2</v>
      </c>
      <c r="C9" s="4">
        <v>0.2629999999999999</v>
      </c>
      <c r="D9" s="11">
        <v>0.47700000000000009</v>
      </c>
    </row>
    <row r="10" spans="1:4" x14ac:dyDescent="0.35">
      <c r="A10">
        <v>0.8</v>
      </c>
      <c r="B10">
        <v>3.1999999999999917E-2</v>
      </c>
      <c r="C10">
        <v>0.33199999999999996</v>
      </c>
      <c r="D10">
        <v>0.40799999999999992</v>
      </c>
    </row>
    <row r="11" spans="1:4" x14ac:dyDescent="0.35">
      <c r="A11">
        <v>0.9</v>
      </c>
      <c r="B11">
        <v>9.000000000000008E-3</v>
      </c>
      <c r="C11">
        <v>0.40900000000000003</v>
      </c>
      <c r="D11">
        <v>0.25099999999999989</v>
      </c>
    </row>
    <row r="12" spans="1:4" x14ac:dyDescent="0.35">
      <c r="A12">
        <v>1</v>
      </c>
      <c r="B12">
        <v>0</v>
      </c>
      <c r="C12">
        <v>0.5</v>
      </c>
      <c r="D1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521E-BA0E-4908-8824-D5A70566AD57}">
  <dimension ref="E3:K13"/>
  <sheetViews>
    <sheetView tabSelected="1" workbookViewId="0">
      <selection activeCell="AK33" sqref="AK33"/>
    </sheetView>
  </sheetViews>
  <sheetFormatPr defaultRowHeight="14.5" x14ac:dyDescent="0.35"/>
  <sheetData>
    <row r="3" spans="5:11" x14ac:dyDescent="0.35">
      <c r="G3" t="s">
        <v>81</v>
      </c>
      <c r="H3" t="s">
        <v>82</v>
      </c>
      <c r="I3" t="s">
        <v>83</v>
      </c>
      <c r="J3" t="s">
        <v>84</v>
      </c>
    </row>
    <row r="4" spans="5:11" x14ac:dyDescent="0.35">
      <c r="G4" cm="1">
        <f t="array" ref="G4:K4">TRANSPOSE(F9:F13)</f>
        <v>0</v>
      </c>
      <c r="H4">
        <v>0.25</v>
      </c>
      <c r="I4">
        <v>0.5</v>
      </c>
      <c r="J4">
        <v>0.75</v>
      </c>
      <c r="K4">
        <v>1</v>
      </c>
    </row>
    <row r="5" spans="5:11" x14ac:dyDescent="0.35">
      <c r="F5" t="s">
        <v>75</v>
      </c>
      <c r="G5">
        <v>0</v>
      </c>
      <c r="H5">
        <v>0.44</v>
      </c>
      <c r="I5">
        <v>0.84</v>
      </c>
      <c r="J5">
        <v>1.2</v>
      </c>
    </row>
    <row r="6" spans="5:11" x14ac:dyDescent="0.35">
      <c r="F6" t="s">
        <v>76</v>
      </c>
      <c r="G6">
        <v>0</v>
      </c>
      <c r="H6">
        <v>0</v>
      </c>
      <c r="I6">
        <v>0</v>
      </c>
      <c r="J6">
        <v>0</v>
      </c>
    </row>
    <row r="7" spans="5:11" x14ac:dyDescent="0.35">
      <c r="F7" t="s">
        <v>77</v>
      </c>
      <c r="G7">
        <v>-1</v>
      </c>
      <c r="H7">
        <v>-1</v>
      </c>
      <c r="I7">
        <v>-1</v>
      </c>
      <c r="J7">
        <v>-1</v>
      </c>
    </row>
    <row r="8" spans="5:11" x14ac:dyDescent="0.35">
      <c r="F8" t="s">
        <v>78</v>
      </c>
      <c r="G8">
        <v>0</v>
      </c>
      <c r="H8">
        <v>0</v>
      </c>
      <c r="I8">
        <v>0</v>
      </c>
      <c r="J8">
        <v>0</v>
      </c>
    </row>
    <row r="9" spans="5:11" x14ac:dyDescent="0.35">
      <c r="E9" t="s">
        <v>85</v>
      </c>
      <c r="F9">
        <v>0</v>
      </c>
      <c r="G9">
        <f>G$5*$F9^3+G$6*$F9^2+G$7*$F9+G$8</f>
        <v>0</v>
      </c>
      <c r="H9">
        <f t="shared" ref="H9:J9" si="0">H$5*$F9^3+H$6*$F9^2+H$7*$F9+H$8</f>
        <v>0</v>
      </c>
      <c r="I9">
        <f t="shared" si="0"/>
        <v>0</v>
      </c>
      <c r="J9">
        <f t="shared" si="0"/>
        <v>0</v>
      </c>
    </row>
    <row r="10" spans="5:11" x14ac:dyDescent="0.35">
      <c r="E10" t="s">
        <v>86</v>
      </c>
      <c r="F10">
        <v>0.25</v>
      </c>
      <c r="G10">
        <f t="shared" ref="G10:J13" si="1">G$5*$F10^3+G$6*$F10^2+G$7*$F10+G$8</f>
        <v>-0.25</v>
      </c>
      <c r="H10">
        <f t="shared" si="1"/>
        <v>-0.24312500000000001</v>
      </c>
      <c r="I10">
        <f t="shared" si="1"/>
        <v>-0.236875</v>
      </c>
      <c r="J10">
        <f t="shared" si="1"/>
        <v>-0.23125000000000001</v>
      </c>
    </row>
    <row r="11" spans="5:11" x14ac:dyDescent="0.35">
      <c r="E11" t="s">
        <v>87</v>
      </c>
      <c r="F11">
        <v>0.5</v>
      </c>
      <c r="G11">
        <f t="shared" si="1"/>
        <v>-0.5</v>
      </c>
      <c r="H11">
        <f t="shared" si="1"/>
        <v>-0.44500000000000001</v>
      </c>
      <c r="I11">
        <f t="shared" si="1"/>
        <v>-0.39500000000000002</v>
      </c>
      <c r="J11">
        <f t="shared" si="1"/>
        <v>-0.35</v>
      </c>
    </row>
    <row r="12" spans="5:11" x14ac:dyDescent="0.35">
      <c r="E12" t="s">
        <v>88</v>
      </c>
      <c r="F12">
        <v>0.75</v>
      </c>
      <c r="G12">
        <f t="shared" si="1"/>
        <v>-0.75</v>
      </c>
      <c r="H12">
        <f t="shared" si="1"/>
        <v>-0.56437499999999996</v>
      </c>
      <c r="I12">
        <f t="shared" si="1"/>
        <v>-0.395625</v>
      </c>
      <c r="J12">
        <f t="shared" si="1"/>
        <v>-0.24375000000000002</v>
      </c>
    </row>
    <row r="13" spans="5:11" x14ac:dyDescent="0.35">
      <c r="E13" t="s">
        <v>89</v>
      </c>
      <c r="F13">
        <v>1</v>
      </c>
      <c r="G13">
        <f t="shared" si="1"/>
        <v>-1</v>
      </c>
      <c r="H13">
        <f t="shared" si="1"/>
        <v>-0.56000000000000005</v>
      </c>
      <c r="I13">
        <f t="shared" si="1"/>
        <v>-0.16000000000000003</v>
      </c>
      <c r="J13">
        <f t="shared" si="1"/>
        <v>0.19999999999999996</v>
      </c>
    </row>
  </sheetData>
  <phoneticPr fontId="3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EEE56F83-845A-4AD8-B6C1-149F8BE1D59C}">
  <ds:schemaRefs/>
</ds:datastoreItem>
</file>

<file path=customXml/itemProps2.xml><?xml version="1.0" encoding="utf-8"?>
<ds:datastoreItem xmlns:ds="http://schemas.openxmlformats.org/officeDocument/2006/customXml" ds:itemID="{79255C08-A39B-4B42-AE6E-53051612DC5B}">
  <ds:schemaRefs/>
</ds:datastoreItem>
</file>

<file path=customXml/itemProps3.xml><?xml version="1.0" encoding="utf-8"?>
<ds:datastoreItem xmlns:ds="http://schemas.openxmlformats.org/officeDocument/2006/customXml" ds:itemID="{BD13945F-2C8E-4935-9130-C46DE5599FBD}">
  <ds:schemaRefs/>
</ds:datastoreItem>
</file>

<file path=customXml/itemProps4.xml><?xml version="1.0" encoding="utf-8"?>
<ds:datastoreItem xmlns:ds="http://schemas.openxmlformats.org/officeDocument/2006/customXml" ds:itemID="{3E82F536-B2A6-446A-B0AA-43F59D4A256C}">
  <ds:schemaRefs/>
</ds:datastoreItem>
</file>

<file path=customXml/itemProps5.xml><?xml version="1.0" encoding="utf-8"?>
<ds:datastoreItem xmlns:ds="http://schemas.openxmlformats.org/officeDocument/2006/customXml" ds:itemID="{601C7DD8-06FF-47B8-997D-B774237E89D3}">
  <ds:schemaRefs/>
</ds:datastoreItem>
</file>

<file path=customXml/itemProps6.xml><?xml version="1.0" encoding="utf-8"?>
<ds:datastoreItem xmlns:ds="http://schemas.openxmlformats.org/officeDocument/2006/customXml" ds:itemID="{5DDEF406-EC5B-40EE-9472-0B774C6412F2}">
  <ds:schemaRefs/>
</ds:datastoreItem>
</file>

<file path=customXml/itemProps7.xml><?xml version="1.0" encoding="utf-8"?>
<ds:datastoreItem xmlns:ds="http://schemas.openxmlformats.org/officeDocument/2006/customXml" ds:itemID="{671AA7A1-46EA-4020-84BA-07F1F1240C3F}">
  <ds:schemaRefs/>
</ds:datastoreItem>
</file>

<file path=customXml/itemProps8.xml><?xml version="1.0" encoding="utf-8"?>
<ds:datastoreItem xmlns:ds="http://schemas.openxmlformats.org/officeDocument/2006/customXml" ds:itemID="{D889B1F1-8B00-4C2F-8899-0BDE84119C2B}">
  <ds:schemaRefs/>
</ds:datastoreItem>
</file>

<file path=customXml/itemProps9.xml><?xml version="1.0" encoding="utf-8"?>
<ds:datastoreItem xmlns:ds="http://schemas.openxmlformats.org/officeDocument/2006/customXml" ds:itemID="{25FB434B-E063-4907-ACEA-36BB6775A729}">
  <ds:schemaRefs/>
</ds:datastoreItem>
</file>

<file path=customXml/itemProps10.xml><?xml version="1.0" encoding="utf-8"?>
<ds:datastoreItem xmlns:ds="http://schemas.openxmlformats.org/officeDocument/2006/customXml" ds:itemID="{BECE0A19-01BA-42F7-8EBD-DE162FF37C70}">
  <ds:schemaRefs/>
</ds:datastoreItem>
</file>

<file path=customXml/itemProps11.xml><?xml version="1.0" encoding="utf-8"?>
<ds:datastoreItem xmlns:ds="http://schemas.openxmlformats.org/officeDocument/2006/customXml" ds:itemID="{FCC4B6D3-80D6-4630-8B8E-255453BB2274}">
  <ds:schemaRefs/>
</ds:datastoreItem>
</file>

<file path=customXml/itemProps12.xml><?xml version="1.0" encoding="utf-8"?>
<ds:datastoreItem xmlns:ds="http://schemas.openxmlformats.org/officeDocument/2006/customXml" ds:itemID="{29C6B27C-38FF-4CB0-9BD3-AFE55D1FB475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E7E51934-699D-4AF2-8A66-D32B9D881668}">
  <ds:schemaRefs/>
</ds:datastoreItem>
</file>

<file path=customXml/itemProps14.xml><?xml version="1.0" encoding="utf-8"?>
<ds:datastoreItem xmlns:ds="http://schemas.openxmlformats.org/officeDocument/2006/customXml" ds:itemID="{474DAA72-B675-44AB-B59E-190E061F53FC}">
  <ds:schemaRefs/>
</ds:datastoreItem>
</file>

<file path=customXml/itemProps15.xml><?xml version="1.0" encoding="utf-8"?>
<ds:datastoreItem xmlns:ds="http://schemas.openxmlformats.org/officeDocument/2006/customXml" ds:itemID="{2245B006-7B37-4820-98A4-122F0AAC275F}">
  <ds:schemaRefs/>
</ds:datastoreItem>
</file>

<file path=customXml/itemProps16.xml><?xml version="1.0" encoding="utf-8"?>
<ds:datastoreItem xmlns:ds="http://schemas.openxmlformats.org/officeDocument/2006/customXml" ds:itemID="{4680D3DB-7898-4145-B3D2-FC28D0CF19AF}">
  <ds:schemaRefs/>
</ds:datastoreItem>
</file>

<file path=customXml/itemProps17.xml><?xml version="1.0" encoding="utf-8"?>
<ds:datastoreItem xmlns:ds="http://schemas.openxmlformats.org/officeDocument/2006/customXml" ds:itemID="{3F7B6728-2CB1-481D-9F42-C47A59C3FC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xlwings.conf</vt:lpstr>
      <vt:lpstr>data</vt:lpstr>
      <vt:lpstr>csv</vt:lpstr>
      <vt:lpstr>1D_correspondence</vt:lpstr>
      <vt:lpstr>csv1</vt:lpstr>
      <vt:lpstr>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Evgenii Nekhoroshev</dc:creator>
  <cp:lastModifiedBy>Evgenii Nekhoroshev</cp:lastModifiedBy>
  <cp:lastPrinted>2021-02-02T06:35:49Z</cp:lastPrinted>
  <dcterms:created xsi:type="dcterms:W3CDTF">2020-08-11T23:31:32Z</dcterms:created>
  <dcterms:modified xsi:type="dcterms:W3CDTF">2024-08-01T07:05:30Z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488380-630a-4f55-a077-a19445e3f360_Enabled">
    <vt:lpwstr>true</vt:lpwstr>
  </property>
  <property fmtid="{D5CDD505-2E9C-101B-9397-08002B2CF9AE}" pid="3" name="MSIP_Label_0f488380-630a-4f55-a077-a19445e3f360_SetDate">
    <vt:lpwstr>2021-12-02T01:13:40Z</vt:lpwstr>
  </property>
  <property fmtid="{D5CDD505-2E9C-101B-9397-08002B2CF9AE}" pid="4" name="MSIP_Label_0f488380-630a-4f55-a077-a19445e3f360_Method">
    <vt:lpwstr>Standard</vt:lpwstr>
  </property>
  <property fmtid="{D5CDD505-2E9C-101B-9397-08002B2CF9AE}" pid="5" name="MSIP_Label_0f488380-630a-4f55-a077-a19445e3f360_Name">
    <vt:lpwstr>OFFICIAL - INTERNAL</vt:lpwstr>
  </property>
  <property fmtid="{D5CDD505-2E9C-101B-9397-08002B2CF9AE}" pid="6" name="MSIP_Label_0f488380-630a-4f55-a077-a19445e3f360_SiteId">
    <vt:lpwstr>b6e377cf-9db3-46cb-91a2-fad9605bb15c</vt:lpwstr>
  </property>
  <property fmtid="{D5CDD505-2E9C-101B-9397-08002B2CF9AE}" pid="7" name="MSIP_Label_0f488380-630a-4f55-a077-a19445e3f360_ActionId">
    <vt:lpwstr>aa2c89b2-1299-466f-aea7-08d5669b4da6</vt:lpwstr>
  </property>
  <property fmtid="{D5CDD505-2E9C-101B-9397-08002B2CF9AE}" pid="8" name="MSIP_Label_0f488380-630a-4f55-a077-a19445e3f360_ContentBits">
    <vt:lpwstr>0</vt:lpwstr>
  </property>
</Properties>
</file>